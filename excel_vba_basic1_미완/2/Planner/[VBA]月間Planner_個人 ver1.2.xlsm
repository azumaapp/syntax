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4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dhvo\Desktop\workset\"/>
    </mc:Choice>
  </mc:AlternateContent>
  <xr:revisionPtr revIDLastSave="0" documentId="13_ncr:1_{CF27BEEA-1294-4384-987B-78A715C89E3B}" xr6:coauthVersionLast="45" xr6:coauthVersionMax="45" xr10:uidLastSave="{00000000-0000-0000-0000-000000000000}"/>
  <bookViews>
    <workbookView xWindow="-110" yWindow="-110" windowWidth="19420" windowHeight="11020" activeTab="1" xr2:uid="{846A6672-5D3E-4F46-A637-369623CC89FA}"/>
  </bookViews>
  <sheets>
    <sheet name="Monthly" sheetId="1" r:id="rId1"/>
    <sheet name="Plan" sheetId="2" r:id="rId2"/>
    <sheet name="Diary" sheetId="4" r:id="rId3"/>
    <sheet name="Data" sheetId="3" r:id="rId4"/>
  </sheets>
  <functionGroups builtInGroupCount="19"/>
  <definedNames>
    <definedName name="祝日">OFFSET(Data!$A$1,1,0,COUNTA(Data!$A:$A)-1,2)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G2" i="2" l="1"/>
  <c r="H2" i="2" s="1"/>
  <c r="P2" i="2" s="1"/>
  <c r="D14" i="1"/>
  <c r="G3" i="2" l="1"/>
  <c r="H3" i="2" l="1"/>
  <c r="P3" i="2" s="1"/>
  <c r="G4" i="2"/>
  <c r="G5" i="2" l="1"/>
  <c r="H4" i="2"/>
  <c r="P4" i="2" s="1"/>
  <c r="G6" i="2" l="1"/>
  <c r="G7" i="2" s="1"/>
  <c r="H5" i="2"/>
  <c r="P5" i="2" s="1"/>
  <c r="H6" i="2" l="1"/>
  <c r="P6" i="2" s="1"/>
  <c r="G8" i="2" l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G209" i="2" s="1"/>
  <c r="G210" i="2" s="1"/>
  <c r="G211" i="2" s="1"/>
  <c r="G212" i="2" s="1"/>
  <c r="G213" i="2" s="1"/>
  <c r="G214" i="2" s="1"/>
  <c r="G215" i="2" s="1"/>
  <c r="G216" i="2" s="1"/>
  <c r="G217" i="2" s="1"/>
  <c r="G218" i="2" s="1"/>
  <c r="G219" i="2" s="1"/>
  <c r="G220" i="2" s="1"/>
  <c r="G221" i="2" s="1"/>
  <c r="G222" i="2" s="1"/>
  <c r="G223" i="2" s="1"/>
  <c r="G224" i="2" s="1"/>
  <c r="G225" i="2" s="1"/>
  <c r="G226" i="2" s="1"/>
  <c r="G227" i="2" s="1"/>
  <c r="G228" i="2" s="1"/>
  <c r="G229" i="2" s="1"/>
  <c r="G230" i="2" s="1"/>
  <c r="G231" i="2" s="1"/>
  <c r="G232" i="2" s="1"/>
  <c r="G233" i="2" s="1"/>
  <c r="G234" i="2" s="1"/>
  <c r="G235" i="2" s="1"/>
  <c r="G236" i="2" s="1"/>
  <c r="G237" i="2" s="1"/>
  <c r="G238" i="2" s="1"/>
  <c r="G239" i="2" s="1"/>
  <c r="G240" i="2" s="1"/>
  <c r="G241" i="2" s="1"/>
  <c r="G242" i="2" s="1"/>
  <c r="G243" i="2" s="1"/>
  <c r="G244" i="2" s="1"/>
  <c r="G245" i="2" s="1"/>
  <c r="G246" i="2" s="1"/>
  <c r="G247" i="2" s="1"/>
  <c r="G248" i="2" s="1"/>
  <c r="G249" i="2" s="1"/>
  <c r="G250" i="2" s="1"/>
  <c r="G251" i="2" s="1"/>
  <c r="G252" i="2" s="1"/>
  <c r="G253" i="2" s="1"/>
  <c r="H7" i="2"/>
  <c r="P7" i="2" s="1"/>
  <c r="H8" i="2" l="1"/>
  <c r="P8" i="2" s="1"/>
  <c r="H9" i="2" l="1"/>
  <c r="P9" i="2" s="1"/>
  <c r="H10" i="2" l="1"/>
  <c r="P10" i="2" s="1"/>
  <c r="H11" i="2" l="1"/>
  <c r="P11" i="2" s="1"/>
  <c r="H12" i="2" l="1"/>
  <c r="P12" i="2" s="1"/>
  <c r="H13" i="2" l="1"/>
  <c r="P13" i="2" s="1"/>
  <c r="H14" i="2" l="1"/>
  <c r="P14" i="2" s="1"/>
  <c r="H15" i="2" l="1"/>
  <c r="P15" i="2" s="1"/>
  <c r="H16" i="2" l="1"/>
  <c r="P16" i="2" s="1"/>
  <c r="H17" i="2" l="1"/>
  <c r="P17" i="2" s="1"/>
  <c r="H18" i="2" l="1"/>
  <c r="P18" i="2" s="1"/>
  <c r="H19" i="2" l="1"/>
  <c r="P19" i="2" s="1"/>
  <c r="H20" i="2" l="1"/>
  <c r="P20" i="2" s="1"/>
  <c r="H21" i="2" l="1"/>
  <c r="P21" i="2" s="1"/>
  <c r="H22" i="2" l="1"/>
  <c r="P22" i="2" s="1"/>
  <c r="H23" i="2" l="1"/>
  <c r="P23" i="2" s="1"/>
  <c r="H24" i="2" l="1"/>
  <c r="P24" i="2" s="1"/>
  <c r="H25" i="2" l="1"/>
  <c r="P25" i="2" s="1"/>
  <c r="H26" i="2" l="1"/>
  <c r="P26" i="2" s="1"/>
  <c r="H27" i="2" l="1"/>
  <c r="P27" i="2" s="1"/>
  <c r="H28" i="2" l="1"/>
  <c r="P28" i="2" s="1"/>
  <c r="H29" i="2" l="1"/>
  <c r="P29" i="2" s="1"/>
  <c r="H30" i="2" l="1"/>
  <c r="P30" i="2" s="1"/>
  <c r="H31" i="2" l="1"/>
  <c r="P31" i="2" s="1"/>
  <c r="A9" i="1"/>
  <c r="C9" i="1"/>
  <c r="E9" i="1"/>
  <c r="G9" i="1"/>
  <c r="I9" i="1"/>
  <c r="K9" i="1"/>
  <c r="M9" i="1"/>
  <c r="B10" i="1"/>
  <c r="D10" i="1"/>
  <c r="F10" i="1"/>
  <c r="H10" i="1"/>
  <c r="J10" i="1"/>
  <c r="L10" i="1"/>
  <c r="N10" i="1"/>
  <c r="B12" i="1"/>
  <c r="D12" i="1"/>
  <c r="F12" i="1"/>
  <c r="H12" i="1"/>
  <c r="J12" i="1"/>
  <c r="L12" i="1"/>
  <c r="N12" i="1"/>
  <c r="B14" i="1"/>
  <c r="F14" i="1"/>
  <c r="H14" i="1"/>
  <c r="J14" i="1"/>
  <c r="L14" i="1"/>
  <c r="N14" i="1"/>
  <c r="B16" i="1"/>
  <c r="D16" i="1"/>
  <c r="F16" i="1"/>
  <c r="H16" i="1"/>
  <c r="J16" i="1"/>
  <c r="L16" i="1"/>
  <c r="N16" i="1"/>
  <c r="B18" i="1"/>
  <c r="D18" i="1"/>
  <c r="F18" i="1"/>
  <c r="H18" i="1"/>
  <c r="J18" i="1"/>
  <c r="L18" i="1"/>
  <c r="N18" i="1"/>
  <c r="B20" i="1"/>
  <c r="D20" i="1"/>
  <c r="W2" i="1"/>
  <c r="X2" i="1"/>
  <c r="Y2" i="1"/>
  <c r="Z2" i="1"/>
  <c r="AA2" i="1"/>
  <c r="AB2" i="1"/>
  <c r="AC2" i="1"/>
  <c r="AE2" i="1"/>
  <c r="AF2" i="1"/>
  <c r="AG2" i="1"/>
  <c r="AH2" i="1"/>
  <c r="AI2" i="1"/>
  <c r="AJ2" i="1"/>
  <c r="AK2" i="1"/>
  <c r="H32" i="2" l="1"/>
  <c r="P32" i="2" s="1"/>
  <c r="A1" i="1"/>
  <c r="W1" i="1" s="1"/>
  <c r="H33" i="2" l="1"/>
  <c r="P33" i="2" s="1"/>
  <c r="AE1" i="1"/>
  <c r="H34" i="2" l="1"/>
  <c r="P34" i="2" s="1"/>
  <c r="H35" i="2" l="1"/>
  <c r="P35" i="2" s="1"/>
  <c r="H36" i="2" l="1"/>
  <c r="P36" i="2" s="1"/>
  <c r="H37" i="2" l="1"/>
  <c r="P37" i="2" s="1"/>
  <c r="H38" i="2" l="1"/>
  <c r="P38" i="2" s="1"/>
  <c r="H39" i="2" l="1"/>
  <c r="P39" i="2" s="1"/>
  <c r="H40" i="2" l="1"/>
  <c r="P40" i="2" s="1"/>
  <c r="H41" i="2" l="1"/>
  <c r="P41" i="2" s="1"/>
  <c r="H42" i="2" l="1"/>
  <c r="P42" i="2" s="1"/>
  <c r="H43" i="2" l="1"/>
  <c r="P43" i="2" s="1"/>
  <c r="H44" i="2" l="1"/>
  <c r="P44" i="2" s="1"/>
  <c r="H45" i="2" l="1"/>
  <c r="P45" i="2" s="1"/>
  <c r="H46" i="2" l="1"/>
  <c r="P46" i="2" s="1"/>
  <c r="H47" i="2" l="1"/>
  <c r="P47" i="2" s="1"/>
  <c r="H48" i="2" l="1"/>
  <c r="P48" i="2" s="1"/>
  <c r="H49" i="2" l="1"/>
  <c r="P49" i="2" s="1"/>
  <c r="H50" i="2" l="1"/>
  <c r="P50" i="2" s="1"/>
  <c r="H51" i="2" l="1"/>
  <c r="P51" i="2" s="1"/>
  <c r="H52" i="2" l="1"/>
  <c r="P52" i="2" s="1"/>
  <c r="H53" i="2" l="1"/>
  <c r="P53" i="2" s="1"/>
  <c r="H54" i="2" l="1"/>
  <c r="P54" i="2" s="1"/>
  <c r="H55" i="2" l="1"/>
  <c r="P55" i="2" s="1"/>
  <c r="H56" i="2" l="1"/>
  <c r="P56" i="2" s="1"/>
  <c r="H57" i="2" l="1"/>
  <c r="P57" i="2" s="1"/>
  <c r="H58" i="2" l="1"/>
  <c r="P58" i="2" s="1"/>
  <c r="H59" i="2" l="1"/>
  <c r="P59" i="2" s="1"/>
  <c r="H60" i="2" l="1"/>
  <c r="P60" i="2" s="1"/>
  <c r="H61" i="2" l="1"/>
  <c r="P61" i="2" s="1"/>
  <c r="H62" i="2" l="1"/>
  <c r="P62" i="2" s="1"/>
  <c r="H63" i="2" l="1"/>
  <c r="P63" i="2" s="1"/>
  <c r="H64" i="2" l="1"/>
  <c r="P64" i="2" s="1"/>
  <c r="H65" i="2" l="1"/>
  <c r="P65" i="2" s="1"/>
  <c r="H66" i="2" l="1"/>
  <c r="P66" i="2" s="1"/>
  <c r="H67" i="2" l="1"/>
  <c r="P67" i="2" s="1"/>
  <c r="H68" i="2" l="1"/>
  <c r="P68" i="2" s="1"/>
  <c r="H69" i="2" l="1"/>
  <c r="P69" i="2" s="1"/>
  <c r="H70" i="2" l="1"/>
  <c r="P70" i="2" s="1"/>
  <c r="H71" i="2" l="1"/>
  <c r="P71" i="2" s="1"/>
  <c r="H72" i="2" l="1"/>
  <c r="P72" i="2" s="1"/>
  <c r="H73" i="2" l="1"/>
  <c r="P73" i="2" s="1"/>
  <c r="H74" i="2" l="1"/>
  <c r="P74" i="2" s="1"/>
  <c r="H75" i="2" l="1"/>
  <c r="P75" i="2" s="1"/>
  <c r="H76" i="2" l="1"/>
  <c r="P76" i="2" s="1"/>
  <c r="H77" i="2" l="1"/>
  <c r="P77" i="2" s="1"/>
  <c r="H78" i="2" l="1"/>
  <c r="P78" i="2" s="1"/>
  <c r="H79" i="2" l="1"/>
  <c r="P79" i="2" s="1"/>
  <c r="H80" i="2" l="1"/>
  <c r="P80" i="2" s="1"/>
  <c r="H81" i="2" l="1"/>
  <c r="P81" i="2" s="1"/>
  <c r="H82" i="2" l="1"/>
  <c r="P82" i="2" s="1"/>
  <c r="H83" i="2" l="1"/>
  <c r="P83" i="2" s="1"/>
  <c r="H84" i="2" l="1"/>
  <c r="P84" i="2" s="1"/>
  <c r="H85" i="2" l="1"/>
  <c r="P85" i="2" s="1"/>
  <c r="H86" i="2" l="1"/>
  <c r="P86" i="2" s="1"/>
  <c r="H87" i="2" l="1"/>
  <c r="P87" i="2" s="1"/>
  <c r="H88" i="2" l="1"/>
  <c r="P88" i="2" s="1"/>
  <c r="H89" i="2" l="1"/>
  <c r="P89" i="2" s="1"/>
  <c r="H90" i="2" l="1"/>
  <c r="P90" i="2" s="1"/>
  <c r="H91" i="2" l="1"/>
  <c r="P91" i="2" s="1"/>
  <c r="H92" i="2" l="1"/>
  <c r="P92" i="2" s="1"/>
  <c r="H93" i="2" l="1"/>
  <c r="P93" i="2" s="1"/>
  <c r="H94" i="2" l="1"/>
  <c r="P94" i="2" s="1"/>
  <c r="H95" i="2" l="1"/>
  <c r="P95" i="2" s="1"/>
  <c r="H96" i="2" l="1"/>
  <c r="P96" i="2" s="1"/>
  <c r="H97" i="2" l="1"/>
  <c r="P97" i="2" s="1"/>
  <c r="H98" i="2" l="1"/>
  <c r="P98" i="2" s="1"/>
  <c r="H99" i="2" l="1"/>
  <c r="P99" i="2" s="1"/>
  <c r="H100" i="2" l="1"/>
  <c r="P100" i="2" s="1"/>
  <c r="H101" i="2" l="1"/>
  <c r="P101" i="2" s="1"/>
  <c r="H102" i="2" l="1"/>
  <c r="P102" i="2" s="1"/>
  <c r="H103" i="2" l="1"/>
  <c r="P103" i="2" s="1"/>
  <c r="H104" i="2" l="1"/>
  <c r="P104" i="2" s="1"/>
  <c r="H105" i="2" l="1"/>
  <c r="P105" i="2" s="1"/>
  <c r="H106" i="2" l="1"/>
  <c r="P106" i="2" s="1"/>
  <c r="H107" i="2" l="1"/>
  <c r="P107" i="2" s="1"/>
  <c r="H108" i="2" l="1"/>
  <c r="P108" i="2" s="1"/>
  <c r="H109" i="2" l="1"/>
  <c r="P109" i="2" s="1"/>
  <c r="H110" i="2" l="1"/>
  <c r="P110" i="2" s="1"/>
  <c r="H111" i="2" l="1"/>
  <c r="P111" i="2" s="1"/>
  <c r="H112" i="2" l="1"/>
  <c r="P112" i="2" s="1"/>
  <c r="H113" i="2" l="1"/>
  <c r="P113" i="2" s="1"/>
  <c r="H114" i="2" l="1"/>
  <c r="P114" i="2" s="1"/>
  <c r="H115" i="2" l="1"/>
  <c r="P115" i="2" s="1"/>
  <c r="H116" i="2" l="1"/>
  <c r="P116" i="2" s="1"/>
  <c r="H117" i="2" l="1"/>
  <c r="P117" i="2" s="1"/>
  <c r="H118" i="2" l="1"/>
  <c r="P118" i="2" s="1"/>
  <c r="H119" i="2" l="1"/>
  <c r="P119" i="2" s="1"/>
  <c r="H120" i="2" l="1"/>
  <c r="P120" i="2" s="1"/>
  <c r="H121" i="2" l="1"/>
  <c r="P121" i="2" s="1"/>
  <c r="H122" i="2" l="1"/>
  <c r="P122" i="2" s="1"/>
  <c r="H123" i="2" l="1"/>
  <c r="P123" i="2" s="1"/>
  <c r="H124" i="2" l="1"/>
  <c r="P124" i="2" s="1"/>
  <c r="H125" i="2" l="1"/>
  <c r="P125" i="2" s="1"/>
  <c r="H126" i="2" l="1"/>
  <c r="P126" i="2" s="1"/>
  <c r="H127" i="2" l="1"/>
  <c r="P127" i="2" s="1"/>
  <c r="H128" i="2" l="1"/>
  <c r="P128" i="2" s="1"/>
  <c r="H129" i="2" l="1"/>
  <c r="P129" i="2" s="1"/>
  <c r="H130" i="2" l="1"/>
  <c r="P130" i="2" s="1"/>
  <c r="H131" i="2" l="1"/>
  <c r="P131" i="2" s="1"/>
  <c r="H132" i="2" l="1"/>
  <c r="P132" i="2" s="1"/>
  <c r="H133" i="2" l="1"/>
  <c r="P133" i="2" s="1"/>
  <c r="H134" i="2" l="1"/>
  <c r="P134" i="2" s="1"/>
  <c r="H135" i="2" l="1"/>
  <c r="P135" i="2" s="1"/>
  <c r="H136" i="2" l="1"/>
  <c r="P136" i="2" s="1"/>
  <c r="H137" i="2" l="1"/>
  <c r="P137" i="2" s="1"/>
  <c r="H138" i="2" l="1"/>
  <c r="P138" i="2" s="1"/>
  <c r="H139" i="2" l="1"/>
  <c r="P139" i="2" s="1"/>
  <c r="H140" i="2" l="1"/>
  <c r="P140" i="2" s="1"/>
  <c r="H141" i="2" l="1"/>
  <c r="P141" i="2" s="1"/>
  <c r="H142" i="2" l="1"/>
  <c r="P142" i="2" s="1"/>
  <c r="H143" i="2" l="1"/>
  <c r="P143" i="2" s="1"/>
  <c r="H144" i="2" l="1"/>
  <c r="P144" i="2" s="1"/>
  <c r="H145" i="2" l="1"/>
  <c r="P145" i="2" s="1"/>
  <c r="H146" i="2" l="1"/>
  <c r="P146" i="2" s="1"/>
  <c r="H147" i="2" l="1"/>
  <c r="P147" i="2" s="1"/>
  <c r="H148" i="2" l="1"/>
  <c r="P148" i="2" s="1"/>
  <c r="H149" i="2" l="1"/>
  <c r="P149" i="2" s="1"/>
  <c r="H150" i="2" l="1"/>
  <c r="P150" i="2" s="1"/>
  <c r="H151" i="2" l="1"/>
  <c r="P151" i="2" s="1"/>
  <c r="H152" i="2" l="1"/>
  <c r="P152" i="2" s="1"/>
  <c r="H153" i="2" l="1"/>
  <c r="P153" i="2" s="1"/>
  <c r="H154" i="2" l="1"/>
  <c r="P154" i="2" s="1"/>
  <c r="H155" i="2" l="1"/>
  <c r="P155" i="2" s="1"/>
  <c r="H156" i="2" l="1"/>
  <c r="P156" i="2" s="1"/>
  <c r="H157" i="2" l="1"/>
  <c r="P157" i="2" s="1"/>
  <c r="H158" i="2" l="1"/>
  <c r="P158" i="2" s="1"/>
  <c r="H159" i="2" l="1"/>
  <c r="P159" i="2" s="1"/>
  <c r="H160" i="2" l="1"/>
  <c r="P160" i="2" s="1"/>
  <c r="H161" i="2" l="1"/>
  <c r="P161" i="2" s="1"/>
  <c r="H162" i="2" l="1"/>
  <c r="P162" i="2" s="1"/>
  <c r="H163" i="2" l="1"/>
  <c r="P163" i="2" s="1"/>
  <c r="H164" i="2" l="1"/>
  <c r="P164" i="2" s="1"/>
  <c r="H165" i="2" l="1"/>
  <c r="P165" i="2" s="1"/>
  <c r="H166" i="2" l="1"/>
  <c r="P166" i="2" s="1"/>
  <c r="H167" i="2" l="1"/>
  <c r="P167" i="2" s="1"/>
  <c r="H168" i="2" l="1"/>
  <c r="P168" i="2" s="1"/>
  <c r="H169" i="2" l="1"/>
  <c r="P169" i="2" s="1"/>
  <c r="H170" i="2" l="1"/>
  <c r="P170" i="2" s="1"/>
  <c r="H171" i="2" l="1"/>
  <c r="P171" i="2" s="1"/>
  <c r="H172" i="2" l="1"/>
  <c r="P172" i="2" s="1"/>
  <c r="H173" i="2" l="1"/>
  <c r="P173" i="2" s="1"/>
  <c r="H174" i="2" l="1"/>
  <c r="P174" i="2" s="1"/>
  <c r="H175" i="2" l="1"/>
  <c r="P175" i="2" s="1"/>
  <c r="H176" i="2" l="1"/>
  <c r="P176" i="2" s="1"/>
  <c r="H177" i="2" l="1"/>
  <c r="P177" i="2" s="1"/>
  <c r="H178" i="2" l="1"/>
  <c r="P178" i="2" s="1"/>
  <c r="H179" i="2" l="1"/>
  <c r="P179" i="2" s="1"/>
  <c r="H180" i="2" l="1"/>
  <c r="P180" i="2" s="1"/>
  <c r="H181" i="2" l="1"/>
  <c r="P181" i="2" s="1"/>
  <c r="H182" i="2" l="1"/>
  <c r="P182" i="2" s="1"/>
  <c r="H183" i="2" l="1"/>
  <c r="P183" i="2" s="1"/>
  <c r="H184" i="2" l="1"/>
  <c r="P184" i="2" s="1"/>
  <c r="H185" i="2" l="1"/>
  <c r="P185" i="2" s="1"/>
  <c r="H186" i="2" l="1"/>
  <c r="P186" i="2" s="1"/>
  <c r="H187" i="2" l="1"/>
  <c r="P187" i="2" s="1"/>
  <c r="H188" i="2" l="1"/>
  <c r="P188" i="2" s="1"/>
  <c r="H189" i="2" l="1"/>
  <c r="P189" i="2" s="1"/>
  <c r="H190" i="2" l="1"/>
  <c r="P190" i="2" s="1"/>
  <c r="H191" i="2" l="1"/>
  <c r="P191" i="2" s="1"/>
  <c r="H192" i="2" l="1"/>
  <c r="P192" i="2" s="1"/>
  <c r="H193" i="2" l="1"/>
  <c r="P193" i="2" s="1"/>
  <c r="H194" i="2" l="1"/>
  <c r="P194" i="2" s="1"/>
  <c r="H195" i="2" l="1"/>
  <c r="P195" i="2" s="1"/>
  <c r="H196" i="2" l="1"/>
  <c r="P196" i="2" s="1"/>
  <c r="H197" i="2" l="1"/>
  <c r="P197" i="2" s="1"/>
  <c r="H198" i="2" l="1"/>
  <c r="P198" i="2" s="1"/>
  <c r="H199" i="2" l="1"/>
  <c r="P199" i="2" s="1"/>
  <c r="H200" i="2" l="1"/>
  <c r="P200" i="2" s="1"/>
  <c r="H201" i="2" l="1"/>
  <c r="P201" i="2" s="1"/>
  <c r="H202" i="2" l="1"/>
  <c r="P202" i="2" s="1"/>
  <c r="H203" i="2" l="1"/>
  <c r="P203" i="2" s="1"/>
  <c r="H204" i="2" l="1"/>
  <c r="P204" i="2" s="1"/>
  <c r="H205" i="2" l="1"/>
  <c r="P205" i="2" s="1"/>
  <c r="H206" i="2" l="1"/>
  <c r="P206" i="2" s="1"/>
  <c r="H207" i="2" l="1"/>
  <c r="P207" i="2" s="1"/>
  <c r="H208" i="2" l="1"/>
  <c r="P208" i="2" s="1"/>
  <c r="H209" i="2" l="1"/>
  <c r="P209" i="2" s="1"/>
  <c r="H210" i="2" l="1"/>
  <c r="P210" i="2" s="1"/>
  <c r="H211" i="2" l="1"/>
  <c r="P211" i="2" s="1"/>
  <c r="H212" i="2" l="1"/>
  <c r="P212" i="2" s="1"/>
  <c r="H213" i="2" l="1"/>
  <c r="P213" i="2" s="1"/>
  <c r="H214" i="2" l="1"/>
  <c r="P214" i="2" s="1"/>
  <c r="H215" i="2" l="1"/>
  <c r="P215" i="2" s="1"/>
  <c r="H216" i="2" l="1"/>
  <c r="P216" i="2" s="1"/>
  <c r="H217" i="2" l="1"/>
  <c r="P217" i="2" s="1"/>
  <c r="H218" i="2" l="1"/>
  <c r="P218" i="2" s="1"/>
  <c r="H219" i="2" l="1"/>
  <c r="P219" i="2" s="1"/>
  <c r="H220" i="2" l="1"/>
  <c r="P220" i="2" s="1"/>
  <c r="H221" i="2" l="1"/>
  <c r="P221" i="2" s="1"/>
  <c r="H222" i="2" l="1"/>
  <c r="P222" i="2" s="1"/>
  <c r="H223" i="2" l="1"/>
  <c r="P223" i="2" s="1"/>
  <c r="H224" i="2" l="1"/>
  <c r="P224" i="2" s="1"/>
  <c r="H225" i="2" l="1"/>
  <c r="P225" i="2" s="1"/>
  <c r="H226" i="2" l="1"/>
  <c r="P226" i="2" s="1"/>
  <c r="H227" i="2" l="1"/>
  <c r="P227" i="2" s="1"/>
  <c r="H228" i="2" l="1"/>
  <c r="P228" i="2" s="1"/>
  <c r="H229" i="2" l="1"/>
  <c r="P229" i="2" s="1"/>
  <c r="H230" i="2" l="1"/>
  <c r="P230" i="2" s="1"/>
  <c r="H231" i="2" l="1"/>
  <c r="P231" i="2" s="1"/>
  <c r="H232" i="2" l="1"/>
  <c r="P232" i="2" s="1"/>
  <c r="H233" i="2" l="1"/>
  <c r="P233" i="2" s="1"/>
  <c r="H234" i="2" l="1"/>
  <c r="P234" i="2" s="1"/>
  <c r="H235" i="2" l="1"/>
  <c r="P235" i="2" s="1"/>
  <c r="H236" i="2" l="1"/>
  <c r="P236" i="2" s="1"/>
  <c r="H237" i="2" l="1"/>
  <c r="P237" i="2" s="1"/>
  <c r="H238" i="2" l="1"/>
  <c r="P238" i="2" s="1"/>
  <c r="H239" i="2" l="1"/>
  <c r="P239" i="2" s="1"/>
  <c r="H240" i="2" l="1"/>
  <c r="P240" i="2" s="1"/>
  <c r="H241" i="2" l="1"/>
  <c r="P241" i="2" s="1"/>
  <c r="H242" i="2" l="1"/>
  <c r="P242" i="2" s="1"/>
  <c r="H243" i="2" l="1"/>
  <c r="P243" i="2" s="1"/>
  <c r="H244" i="2" l="1"/>
  <c r="P244" i="2" s="1"/>
  <c r="H245" i="2" l="1"/>
  <c r="P245" i="2" s="1"/>
  <c r="H246" i="2" l="1"/>
  <c r="P246" i="2" s="1"/>
  <c r="H247" i="2" l="1"/>
  <c r="P247" i="2" s="1"/>
  <c r="H248" i="2" l="1"/>
  <c r="P248" i="2" s="1"/>
  <c r="H249" i="2" l="1"/>
  <c r="P249" i="2" s="1"/>
  <c r="H250" i="2" l="1"/>
  <c r="P250" i="2" s="1"/>
  <c r="H251" i="2" l="1"/>
  <c r="P251" i="2" s="1"/>
  <c r="H252" i="2" l="1"/>
  <c r="P252" i="2" s="1"/>
  <c r="G254" i="2" l="1"/>
  <c r="H253" i="2"/>
  <c r="P253" i="2" s="1"/>
  <c r="G255" i="2" l="1"/>
  <c r="H254" i="2"/>
  <c r="P254" i="2" s="1"/>
  <c r="G256" i="2" l="1"/>
  <c r="H255" i="2"/>
  <c r="P255" i="2" s="1"/>
  <c r="G257" i="2" l="1"/>
  <c r="H256" i="2"/>
  <c r="P256" i="2" s="1"/>
  <c r="H257" i="2" l="1"/>
  <c r="P257" i="2" s="1"/>
  <c r="G258" i="2"/>
  <c r="H258" i="2" l="1"/>
  <c r="P258" i="2" s="1"/>
  <c r="G259" i="2"/>
  <c r="G260" i="2" l="1"/>
  <c r="H259" i="2"/>
  <c r="P259" i="2" s="1"/>
  <c r="G261" i="2" l="1"/>
  <c r="H260" i="2"/>
  <c r="P260" i="2" s="1"/>
  <c r="G262" i="2" l="1"/>
  <c r="H261" i="2"/>
  <c r="P261" i="2" s="1"/>
  <c r="G263" i="2" l="1"/>
  <c r="H262" i="2"/>
  <c r="P262" i="2" s="1"/>
  <c r="G264" i="2" l="1"/>
  <c r="H263" i="2"/>
  <c r="P263" i="2" s="1"/>
  <c r="H264" i="2" l="1"/>
  <c r="P264" i="2" s="1"/>
  <c r="G265" i="2"/>
  <c r="G266" i="2" l="1"/>
  <c r="H265" i="2"/>
  <c r="P265" i="2" s="1"/>
  <c r="G267" i="2" l="1"/>
  <c r="H266" i="2"/>
  <c r="P266" i="2" s="1"/>
  <c r="H267" i="2" l="1"/>
  <c r="P267" i="2" s="1"/>
  <c r="G268" i="2"/>
  <c r="H268" i="2" l="1"/>
  <c r="P268" i="2" s="1"/>
  <c r="G269" i="2"/>
  <c r="G270" i="2" l="1"/>
  <c r="H269" i="2"/>
  <c r="P269" i="2" s="1"/>
  <c r="G271" i="2" l="1"/>
  <c r="H270" i="2"/>
  <c r="P270" i="2" s="1"/>
  <c r="G272" i="2" l="1"/>
  <c r="H271" i="2"/>
  <c r="P271" i="2" s="1"/>
  <c r="G273" i="2" l="1"/>
  <c r="H272" i="2"/>
  <c r="P272" i="2" s="1"/>
  <c r="H273" i="2" l="1"/>
  <c r="P273" i="2" s="1"/>
  <c r="G274" i="2"/>
  <c r="H274" i="2" l="1"/>
  <c r="P274" i="2" s="1"/>
  <c r="G275" i="2"/>
  <c r="G276" i="2" l="1"/>
  <c r="H275" i="2"/>
  <c r="P275" i="2" s="1"/>
  <c r="G277" i="2" l="1"/>
  <c r="H276" i="2"/>
  <c r="P276" i="2" s="1"/>
  <c r="H277" i="2" l="1"/>
  <c r="P277" i="2" s="1"/>
  <c r="G278" i="2"/>
  <c r="H278" i="2" l="1"/>
  <c r="P278" i="2" s="1"/>
  <c r="G279" i="2"/>
  <c r="G280" i="2" l="1"/>
  <c r="H279" i="2"/>
  <c r="P279" i="2" s="1"/>
  <c r="G281" i="2" l="1"/>
  <c r="H280" i="2"/>
  <c r="P280" i="2" s="1"/>
  <c r="G282" i="2" l="1"/>
  <c r="H281" i="2"/>
  <c r="P281" i="2" s="1"/>
  <c r="H282" i="2" l="1"/>
  <c r="P282" i="2" s="1"/>
  <c r="G283" i="2"/>
  <c r="G284" i="2" l="1"/>
  <c r="H283" i="2"/>
  <c r="P283" i="2" s="1"/>
  <c r="G285" i="2" l="1"/>
  <c r="H284" i="2"/>
  <c r="P284" i="2" s="1"/>
  <c r="G286" i="2" l="1"/>
  <c r="H285" i="2"/>
  <c r="P285" i="2" s="1"/>
  <c r="G287" i="2" l="1"/>
  <c r="H286" i="2"/>
  <c r="P286" i="2" s="1"/>
  <c r="G288" i="2" l="1"/>
  <c r="H287" i="2"/>
  <c r="P287" i="2" s="1"/>
  <c r="G289" i="2" l="1"/>
  <c r="H288" i="2"/>
  <c r="P288" i="2" s="1"/>
  <c r="H289" i="2" l="1"/>
  <c r="P289" i="2" s="1"/>
  <c r="G290" i="2"/>
  <c r="H290" i="2" l="1"/>
  <c r="P290" i="2" s="1"/>
  <c r="G291" i="2"/>
  <c r="G292" i="2" l="1"/>
  <c r="H291" i="2"/>
  <c r="P291" i="2" s="1"/>
  <c r="H292" i="2" l="1"/>
  <c r="P292" i="2" s="1"/>
  <c r="G293" i="2"/>
  <c r="H293" i="2" l="1"/>
  <c r="P293" i="2" s="1"/>
  <c r="G294" i="2"/>
  <c r="H294" i="2" l="1"/>
  <c r="P294" i="2" s="1"/>
  <c r="G295" i="2"/>
  <c r="H295" i="2" l="1"/>
  <c r="P295" i="2" s="1"/>
  <c r="G296" i="2"/>
  <c r="G297" i="2" l="1"/>
  <c r="H296" i="2"/>
  <c r="P296" i="2" s="1"/>
  <c r="H297" i="2" l="1"/>
  <c r="P297" i="2" s="1"/>
  <c r="G298" i="2"/>
  <c r="H298" i="2" l="1"/>
  <c r="P298" i="2" s="1"/>
  <c r="G299" i="2"/>
  <c r="G300" i="2" l="1"/>
  <c r="H299" i="2"/>
  <c r="P299" i="2" s="1"/>
  <c r="H300" i="2" l="1"/>
  <c r="P300" i="2" s="1"/>
  <c r="G301" i="2"/>
  <c r="H301" i="2" l="1"/>
  <c r="P301" i="2" s="1"/>
  <c r="G302" i="2"/>
  <c r="G303" i="2" l="1"/>
  <c r="H302" i="2"/>
  <c r="P302" i="2" s="1"/>
  <c r="G304" i="2" l="1"/>
  <c r="H303" i="2"/>
  <c r="P303" i="2" s="1"/>
  <c r="G305" i="2" l="1"/>
  <c r="H304" i="2"/>
  <c r="P304" i="2" s="1"/>
  <c r="G306" i="2" l="1"/>
  <c r="H305" i="2"/>
  <c r="P305" i="2" s="1"/>
  <c r="H306" i="2" l="1"/>
  <c r="P306" i="2" s="1"/>
  <c r="G307" i="2"/>
  <c r="G308" i="2" l="1"/>
  <c r="H307" i="2"/>
  <c r="P307" i="2" s="1"/>
  <c r="H308" i="2" l="1"/>
  <c r="P308" i="2" s="1"/>
  <c r="G309" i="2"/>
  <c r="G310" i="2" l="1"/>
  <c r="H309" i="2"/>
  <c r="P309" i="2" s="1"/>
  <c r="G311" i="2" l="1"/>
  <c r="H310" i="2"/>
  <c r="P310" i="2" s="1"/>
  <c r="H311" i="2" l="1"/>
  <c r="P311" i="2" s="1"/>
  <c r="G312" i="2"/>
  <c r="G313" i="2" l="1"/>
  <c r="H312" i="2"/>
  <c r="P312" i="2" s="1"/>
  <c r="H313" i="2" l="1"/>
  <c r="P313" i="2" s="1"/>
  <c r="G314" i="2"/>
  <c r="G315" i="2" l="1"/>
  <c r="H314" i="2"/>
  <c r="P314" i="2" s="1"/>
  <c r="G316" i="2" l="1"/>
  <c r="H315" i="2"/>
  <c r="P315" i="2" s="1"/>
  <c r="H316" i="2" l="1"/>
  <c r="P316" i="2" s="1"/>
  <c r="G317" i="2"/>
  <c r="G318" i="2" l="1"/>
  <c r="H317" i="2"/>
  <c r="P317" i="2" s="1"/>
  <c r="G319" i="2" l="1"/>
  <c r="H318" i="2"/>
  <c r="P318" i="2" s="1"/>
  <c r="G320" i="2" l="1"/>
  <c r="H319" i="2"/>
  <c r="P319" i="2" s="1"/>
  <c r="G321" i="2" l="1"/>
  <c r="H320" i="2"/>
  <c r="P320" i="2" s="1"/>
  <c r="H321" i="2" l="1"/>
  <c r="P321" i="2" s="1"/>
  <c r="G322" i="2"/>
  <c r="G323" i="2" l="1"/>
  <c r="H322" i="2"/>
  <c r="P322" i="2" s="1"/>
  <c r="G324" i="2" l="1"/>
  <c r="H323" i="2"/>
  <c r="P323" i="2" s="1"/>
  <c r="G325" i="2" l="1"/>
  <c r="H324" i="2"/>
  <c r="P324" i="2" s="1"/>
  <c r="G326" i="2" l="1"/>
  <c r="H325" i="2"/>
  <c r="P325" i="2" s="1"/>
  <c r="G327" i="2" l="1"/>
  <c r="H326" i="2"/>
  <c r="P326" i="2" s="1"/>
  <c r="H327" i="2" l="1"/>
  <c r="P327" i="2" s="1"/>
  <c r="G328" i="2"/>
  <c r="H328" i="2" l="1"/>
  <c r="P328" i="2" s="1"/>
  <c r="G329" i="2"/>
  <c r="G330" i="2" l="1"/>
  <c r="H329" i="2"/>
  <c r="P329" i="2" s="1"/>
  <c r="G331" i="2" l="1"/>
  <c r="H330" i="2"/>
  <c r="P330" i="2" s="1"/>
  <c r="G332" i="2" l="1"/>
  <c r="H331" i="2"/>
  <c r="P331" i="2" s="1"/>
  <c r="G333" i="2" l="1"/>
  <c r="H332" i="2"/>
  <c r="P332" i="2" s="1"/>
  <c r="H333" i="2" l="1"/>
  <c r="P333" i="2" s="1"/>
  <c r="G334" i="2"/>
  <c r="G335" i="2" l="1"/>
  <c r="H334" i="2"/>
  <c r="P334" i="2" s="1"/>
  <c r="H335" i="2" l="1"/>
  <c r="P335" i="2" s="1"/>
  <c r="G336" i="2"/>
  <c r="H336" i="2" l="1"/>
  <c r="P336" i="2" s="1"/>
  <c r="G337" i="2"/>
  <c r="G338" i="2" l="1"/>
  <c r="H337" i="2"/>
  <c r="P337" i="2" s="1"/>
  <c r="G339" i="2" l="1"/>
  <c r="H338" i="2"/>
  <c r="P338" i="2" s="1"/>
  <c r="G340" i="2" l="1"/>
  <c r="H339" i="2"/>
  <c r="P339" i="2" s="1"/>
  <c r="G341" i="2" l="1"/>
  <c r="H340" i="2"/>
  <c r="P340" i="2" s="1"/>
  <c r="H341" i="2" l="1"/>
  <c r="P341" i="2" s="1"/>
  <c r="G342" i="2"/>
  <c r="H342" i="2" l="1"/>
  <c r="P342" i="2" s="1"/>
  <c r="G343" i="2"/>
  <c r="G344" i="2" l="1"/>
  <c r="H343" i="2"/>
  <c r="P343" i="2" s="1"/>
  <c r="G345" i="2" l="1"/>
  <c r="H344" i="2"/>
  <c r="P344" i="2" s="1"/>
  <c r="G346" i="2" l="1"/>
  <c r="H345" i="2"/>
  <c r="P345" i="2" s="1"/>
  <c r="G347" i="2" l="1"/>
  <c r="H346" i="2"/>
  <c r="P346" i="2" s="1"/>
  <c r="G348" i="2" l="1"/>
  <c r="H347" i="2"/>
  <c r="P347" i="2" s="1"/>
  <c r="G349" i="2" l="1"/>
  <c r="H348" i="2"/>
  <c r="P348" i="2" s="1"/>
  <c r="G350" i="2" l="1"/>
  <c r="H349" i="2"/>
  <c r="P349" i="2" s="1"/>
  <c r="G351" i="2" l="1"/>
  <c r="H350" i="2"/>
  <c r="P350" i="2" s="1"/>
  <c r="H351" i="2" l="1"/>
  <c r="P351" i="2" s="1"/>
  <c r="G352" i="2"/>
  <c r="G353" i="2" l="1"/>
  <c r="H352" i="2"/>
  <c r="P352" i="2" s="1"/>
  <c r="G354" i="2" l="1"/>
  <c r="H353" i="2"/>
  <c r="P353" i="2" s="1"/>
  <c r="G355" i="2" l="1"/>
  <c r="H354" i="2"/>
  <c r="P354" i="2" s="1"/>
  <c r="H355" i="2" l="1"/>
  <c r="P355" i="2" s="1"/>
  <c r="G356" i="2"/>
  <c r="G357" i="2" l="1"/>
  <c r="H356" i="2"/>
  <c r="P356" i="2" s="1"/>
  <c r="G358" i="2" l="1"/>
  <c r="H357" i="2"/>
  <c r="P357" i="2" s="1"/>
  <c r="H358" i="2" l="1"/>
  <c r="P358" i="2" s="1"/>
  <c r="G359" i="2"/>
  <c r="H359" i="2" l="1"/>
  <c r="P359" i="2" s="1"/>
  <c r="G360" i="2"/>
  <c r="G361" i="2" l="1"/>
  <c r="H360" i="2"/>
  <c r="P360" i="2" s="1"/>
  <c r="G362" i="2" l="1"/>
  <c r="H361" i="2"/>
  <c r="P361" i="2" s="1"/>
  <c r="G363" i="2" l="1"/>
  <c r="H362" i="2"/>
  <c r="P362" i="2" s="1"/>
  <c r="G364" i="2" l="1"/>
  <c r="H363" i="2"/>
  <c r="P363" i="2" s="1"/>
  <c r="G365" i="2" l="1"/>
  <c r="H364" i="2"/>
  <c r="P364" i="2" s="1"/>
  <c r="G366" i="2" l="1"/>
  <c r="H365" i="2"/>
  <c r="P365" i="2" s="1"/>
  <c r="A4" i="2" l="1" a="1"/>
  <c r="A4" i="2" s="1"/>
  <c r="G367" i="2"/>
  <c r="H367" i="2" s="1"/>
  <c r="P367" i="2" s="1"/>
  <c r="H366" i="2"/>
  <c r="P36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<sst xmlns="http://schemas.openxmlformats.org/spreadsheetml/2006/main" count="1694" uniqueCount="239">
  <si>
    <t>Year</t>
  </si>
  <si>
    <t>Start Month</t>
  </si>
  <si>
    <t>元日</t>
  </si>
  <si>
    <t>年始</t>
    <rPh sb="0" eb="2">
      <t>ネンシ</t>
    </rPh>
    <phoneticPr fontId="4"/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</si>
  <si>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</si>
  <si>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</si>
  <si>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</si>
  <si>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</si>
  <si>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</si>
  <si>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</si>
  <si>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</si>
  <si>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振替休日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</si>
  <si>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</si>
  <si>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</si>
  <si>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</si>
  <si>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</si>
  <si>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</si>
  <si>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</si>
  <si>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</si>
  <si>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</si>
  <si>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年末</t>
    <rPh sb="0" eb="2">
      <t>ネンマツ</t>
    </rPh>
    <phoneticPr fontId="4"/>
  </si>
  <si>
    <t>順番</t>
    <rPh sb="0" eb="2">
      <t>ジュンバン</t>
    </rPh>
    <phoneticPr fontId="4"/>
  </si>
  <si>
    <t>日付</t>
    <rPh sb="0" eb="2">
      <t>ヒヅケ</t>
    </rPh>
    <phoneticPr fontId="4"/>
  </si>
  <si>
    <t>曜日</t>
    <rPh sb="0" eb="2">
      <t>ヨウビ</t>
    </rPh>
    <phoneticPr fontId="4"/>
  </si>
  <si>
    <t>日程1</t>
    <rPh sb="0" eb="2">
      <t>ニッテイ</t>
    </rPh>
    <phoneticPr fontId="4"/>
  </si>
  <si>
    <t>日程2</t>
    <rPh sb="0" eb="2">
      <t>ニッテイ</t>
    </rPh>
    <phoneticPr fontId="4"/>
  </si>
  <si>
    <t>日程3</t>
    <rPh sb="0" eb="2">
      <t>ニッテイ</t>
    </rPh>
    <phoneticPr fontId="4"/>
  </si>
  <si>
    <t>日程4</t>
    <rPh sb="0" eb="2">
      <t>ニッテイ</t>
    </rPh>
    <phoneticPr fontId="4"/>
  </si>
  <si>
    <t>日程5</t>
    <rPh sb="0" eb="2">
      <t>ニッテイ</t>
    </rPh>
    <phoneticPr fontId="4"/>
  </si>
  <si>
    <r>
      <t>[メモ</t>
    </r>
    <r>
      <rPr>
        <b/>
        <sz val="18"/>
        <color theme="1" tint="0.34998626667073579"/>
        <rFont val="Yu Gothic"/>
        <family val="2"/>
        <charset val="128"/>
      </rPr>
      <t>]</t>
    </r>
    <phoneticPr fontId="19" type="noConversion"/>
  </si>
  <si>
    <t>夏休み</t>
    <rPh sb="0" eb="2">
      <t>ナツヤス</t>
    </rPh>
    <phoneticPr fontId="4"/>
  </si>
  <si>
    <t>今年</t>
    <rPh sb="0" eb="2">
      <t>コトシ</t>
    </rPh>
    <phoneticPr fontId="4"/>
  </si>
  <si>
    <t>今日</t>
    <rPh sb="0" eb="2">
      <t>キョウ</t>
    </rPh>
    <phoneticPr fontId="4"/>
  </si>
  <si>
    <t>ルーチン</t>
    <phoneticPr fontId="4"/>
  </si>
  <si>
    <t>学習1</t>
    <rPh sb="0" eb="2">
      <t>ガクシュウ</t>
    </rPh>
    <phoneticPr fontId="4"/>
  </si>
  <si>
    <t>学習2</t>
    <rPh sb="0" eb="2">
      <t>ガクシュウ</t>
    </rPh>
    <phoneticPr fontId="4"/>
  </si>
  <si>
    <t>.</t>
    <phoneticPr fontId="43" type="noConversion"/>
  </si>
  <si>
    <t>.</t>
    <phoneticPr fontId="4"/>
  </si>
  <si>
    <r>
      <t>10</t>
    </r>
    <r>
      <rPr>
        <sz val="11"/>
        <color theme="1"/>
        <rFont val="游ゴシック"/>
        <family val="3"/>
        <charset val="129"/>
        <scheme val="minor"/>
      </rPr>
      <t>월</t>
    </r>
    <r>
      <rPr>
        <sz val="11"/>
        <color theme="1"/>
        <rFont val="游ゴシック"/>
        <family val="2"/>
        <scheme val="minor"/>
      </rPr>
      <t xml:space="preserve"> 20</t>
    </r>
    <r>
      <rPr>
        <sz val="11"/>
        <color theme="1"/>
        <rFont val="游ゴシック"/>
        <family val="3"/>
        <charset val="129"/>
        <scheme val="minor"/>
      </rPr>
      <t>일부터</t>
    </r>
    <r>
      <rPr>
        <sz val="11"/>
        <color theme="1"/>
        <rFont val="游ゴシック"/>
        <family val="2"/>
        <scheme val="minor"/>
      </rPr>
      <t xml:space="preserve"> 11</t>
    </r>
    <r>
      <rPr>
        <sz val="11"/>
        <color theme="1"/>
        <rFont val="游ゴシック"/>
        <family val="3"/>
        <charset val="129"/>
        <scheme val="minor"/>
      </rPr>
      <t>월</t>
    </r>
    <r>
      <rPr>
        <sz val="11"/>
        <color theme="1"/>
        <rFont val="游ゴシック"/>
        <family val="2"/>
        <scheme val="minor"/>
      </rPr>
      <t xml:space="preserve"> 19</t>
    </r>
    <r>
      <rPr>
        <sz val="11"/>
        <color theme="1"/>
        <rFont val="游ゴシック"/>
        <family val="3"/>
        <charset val="129"/>
        <scheme val="minor"/>
      </rPr>
      <t>일까지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정기권을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끊어야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하는데</t>
    </r>
    <r>
      <rPr>
        <sz val="11"/>
        <color theme="1"/>
        <rFont val="游ゴシック"/>
        <family val="2"/>
        <scheme val="minor"/>
      </rPr>
      <t xml:space="preserve">, </t>
    </r>
    <r>
      <rPr>
        <sz val="11"/>
        <color theme="1"/>
        <rFont val="游ゴシック"/>
        <family val="3"/>
        <charset val="129"/>
        <scheme val="minor"/>
      </rPr>
      <t>어떻게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해야하냐고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이시타니에게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묻기</t>
    </r>
    <r>
      <rPr>
        <sz val="11"/>
        <color theme="1"/>
        <rFont val="游ゴシック"/>
        <family val="2"/>
        <scheme val="minor"/>
      </rPr>
      <t xml:space="preserve"> (</t>
    </r>
    <r>
      <rPr>
        <sz val="11"/>
        <color theme="1"/>
        <rFont val="游ゴシック"/>
        <family val="3"/>
        <charset val="129"/>
        <scheme val="minor"/>
      </rPr>
      <t>정기권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안끊고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그냥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다닌다음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근무표를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제출할까요</t>
    </r>
    <r>
      <rPr>
        <sz val="11"/>
        <color theme="1"/>
        <rFont val="游ゴシック"/>
        <family val="2"/>
        <scheme val="minor"/>
      </rPr>
      <t>?)</t>
    </r>
    <phoneticPr fontId="43" type="noConversion"/>
  </si>
  <si>
    <r>
      <t>11</t>
    </r>
    <r>
      <rPr>
        <sz val="11"/>
        <color theme="1"/>
        <rFont val="游ゴシック"/>
        <family val="3"/>
        <charset val="129"/>
        <scheme val="minor"/>
      </rPr>
      <t>월쯤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주노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만나서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사업아이템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고민해보자고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했었음</t>
    </r>
    <r>
      <rPr>
        <sz val="11"/>
        <color theme="1"/>
        <rFont val="游ゴシック"/>
        <family val="2"/>
        <scheme val="minor"/>
      </rPr>
      <t>.</t>
    </r>
    <phoneticPr fontId="43" type="noConversion"/>
  </si>
  <si>
    <t>일반(밤)</t>
  </si>
  <si>
    <t>노트북</t>
  </si>
  <si>
    <t>재활용(밤)</t>
  </si>
  <si>
    <t>먼지 소독</t>
  </si>
  <si>
    <t>필터교체</t>
  </si>
  <si>
    <t>다림질, 손코</t>
  </si>
  <si>
    <t>[코딩]신명섭 씨 : 10시간 선불 받음 18 (6월 2일에 끝)</t>
  </si>
  <si>
    <t>[한국어]사토미 씨 : 월 3회 1시간반씩, 1만엔, 요리x사토미 한국어왕초급 6시~10시 (카드, 손, 마)</t>
  </si>
  <si>
    <t>[영어]서지영 씨 : 완전기초초보 영문학과 대기업 프로그램 기획 희망 29 -&gt; 월단위로 주1회 두시간 1만6천 (4 * 4 = 16) -&gt; 어느정도 공부하고, 때되면 주1회에 1시간 반으로 (3) 으로 변경</t>
  </si>
  <si>
    <t>코딩</t>
    <phoneticPr fontId="4"/>
  </si>
  <si>
    <t>한국어</t>
    <phoneticPr fontId="4"/>
  </si>
  <si>
    <t>영어</t>
    <phoneticPr fontId="4"/>
  </si>
  <si>
    <t>。</t>
    <phoneticPr fontId="4"/>
  </si>
  <si>
    <t>비상연락</t>
    <phoneticPr fontId="4"/>
  </si>
  <si>
    <t>이사/약관 : [기본적 규칙]열쇠카피 ok, 그러나 돌아갈때는 다 돌려줄 것 / 오사카 파견 등 이사의 경우, 나가기 1개월 전 말하기(그러면 1주일 살아도 참작됨) / 에어컨 2년마다 필터 갈고 쓰기(필수는 아님), 담배 방안에서는 피지말고 화장실에서 피기(안하면 나중에 청소비 나옴) / 고장난 거 있으면 보고하기 / 돈받고 방 타인 빌려주면 안됨 / 인터넷 NTT선 / 동거시 보고하기, 이사시에는 물건 다 챙겨가기//////////// [갱신료]20.2.22~22.2.21 계약, 2년마다 갱신(1개월분 갱신료낼것), 1년이하로 살면 1개월분 패널티</t>
    <phoneticPr fontId="4"/>
  </si>
  <si>
    <r>
      <t>우리집 : 東京都新宿</t>
    </r>
    <r>
      <rPr>
        <sz val="11"/>
        <color theme="1"/>
        <rFont val="MS UI Gothic"/>
        <family val="2"/>
        <charset val="134"/>
      </rPr>
      <t>区大久保</t>
    </r>
    <r>
      <rPr>
        <sz val="11"/>
        <color theme="1"/>
        <rFont val="맑은 고딕"/>
        <family val="2"/>
        <charset val="129"/>
      </rPr>
      <t>2-19-4 いせ市ビル702</t>
    </r>
    <r>
      <rPr>
        <sz val="11"/>
        <color theme="1"/>
        <rFont val="MS UI Gothic"/>
        <family val="2"/>
        <charset val="134"/>
      </rPr>
      <t>号</t>
    </r>
    <r>
      <rPr>
        <sz val="11"/>
        <color theme="1"/>
        <rFont val="맑은 고딕"/>
        <family val="2"/>
        <charset val="129"/>
      </rPr>
      <t xml:space="preserve"> 〒169-0072 // 율집 : 아다치구 키타센주5-16-12 120-0034 // 킴스쿨 : 1-12-8 301, Takadanobaba, Shinjuku Ku, Tokyo // 에이부루 : 〒169-0075 Tokyo, Shinjuku City, Takadanobaba, 2-14-6 スワンビル 1Ｆ // RTM회사 : 東京都</t>
    </r>
    <r>
      <rPr>
        <sz val="11"/>
        <color theme="1"/>
        <rFont val="MS UI Gothic"/>
        <family val="2"/>
        <charset val="134"/>
      </rPr>
      <t>渋谷区神宮前</t>
    </r>
    <r>
      <rPr>
        <sz val="11"/>
        <color theme="1"/>
        <rFont val="맑은 고딕"/>
        <family val="2"/>
        <charset val="129"/>
      </rPr>
      <t xml:space="preserve">3-7-5　 </t>
    </r>
    <r>
      <rPr>
        <sz val="11"/>
        <color theme="1"/>
        <rFont val="MS UI Gothic"/>
        <family val="2"/>
        <charset val="134"/>
      </rPr>
      <t>青山</t>
    </r>
    <r>
      <rPr>
        <sz val="11"/>
        <color theme="1"/>
        <rFont val="맑은 고딕"/>
        <family val="2"/>
        <charset val="129"/>
      </rPr>
      <t>MSビル6F / 03-5785-3193</t>
    </r>
    <phoneticPr fontId="4"/>
  </si>
  <si>
    <r>
      <rPr>
        <sz val="11"/>
        <color theme="1"/>
        <rFont val="맑은 고딕"/>
        <family val="3"/>
        <charset val="129"/>
      </rPr>
      <t>한국갈때 살것 : CD 박스, 알러지약, 두통약등 각종 필요한 약, 여친 선물용 지그재그 옷, 내꺼 룩핀옷, 주노랑 쇼핑보며 사는 간지옷, 안경알바꾸기, 환전, 드라이버 사기 드릴셋 한국에서 돌아올때 챙기기, LG그램 노트북 고치기 (키보드), 담 한국갈때, 형 집에 있는 컴퓨터 가지고 오기(PC만, 모니터는 그냥 주기)</t>
    </r>
    <phoneticPr fontId="4"/>
  </si>
  <si>
    <r>
      <t>★</t>
    </r>
    <r>
      <rPr>
        <sz val="11"/>
        <color theme="1"/>
        <rFont val="맑은 고딕"/>
        <family val="2"/>
        <charset val="129"/>
      </rPr>
      <t>연금</t>
    </r>
    <r>
      <rPr>
        <sz val="11"/>
        <color theme="1"/>
        <rFont val="游ゴシック"/>
        <family val="2"/>
        <scheme val="minor"/>
      </rPr>
      <t xml:space="preserve"> (F2)
</t>
    </r>
    <r>
      <rPr>
        <sz val="11"/>
        <color theme="1"/>
        <rFont val="맑은 고딕"/>
        <family val="2"/>
        <charset val="129"/>
      </rPr>
      <t>개인연금</t>
    </r>
    <r>
      <rPr>
        <sz val="11"/>
        <color theme="1"/>
        <rFont val="游ゴシック"/>
        <family val="2"/>
        <scheme val="minor"/>
      </rPr>
      <t xml:space="preserve"> : </t>
    </r>
    <r>
      <rPr>
        <sz val="11"/>
        <color theme="1"/>
        <rFont val="맑은 고딕"/>
        <family val="2"/>
        <charset val="129"/>
      </rPr>
      <t>미래에셋</t>
    </r>
    <r>
      <rPr>
        <sz val="11"/>
        <color theme="1"/>
        <rFont val="游ゴシック"/>
        <family val="2"/>
        <scheme val="minor"/>
      </rPr>
      <t>, ibk (</t>
    </r>
    <r>
      <rPr>
        <sz val="11"/>
        <color theme="1"/>
        <rFont val="맑은 고딕"/>
        <family val="2"/>
        <charset val="129"/>
      </rPr>
      <t>보험회사</t>
    </r>
    <r>
      <rPr>
        <sz val="11"/>
        <color theme="1"/>
        <rFont val="游ゴシック"/>
        <family val="2"/>
        <scheme val="minor"/>
      </rPr>
      <t xml:space="preserve"> 10</t>
    </r>
    <r>
      <rPr>
        <sz val="11"/>
        <color theme="1"/>
        <rFont val="맑은 고딕"/>
        <family val="2"/>
        <charset val="129"/>
      </rPr>
      <t>년까지만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납입후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납입중지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유선상으로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가능</t>
    </r>
    <r>
      <rPr>
        <sz val="11"/>
        <color theme="1"/>
        <rFont val="游ゴシック"/>
        <family val="2"/>
        <scheme val="minor"/>
      </rPr>
      <t xml:space="preserve"> (10</t>
    </r>
    <r>
      <rPr>
        <sz val="11"/>
        <color theme="1"/>
        <rFont val="맑은 고딕"/>
        <family val="2"/>
        <charset val="129"/>
      </rPr>
      <t>년안넘으면원금이하로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돈받음</t>
    </r>
    <r>
      <rPr>
        <sz val="11"/>
        <color theme="1"/>
        <rFont val="游ゴシック"/>
        <family val="2"/>
        <scheme val="minor"/>
      </rPr>
      <t>) 20</t>
    </r>
    <r>
      <rPr>
        <sz val="11"/>
        <color theme="1"/>
        <rFont val="맑은 고딕"/>
        <family val="2"/>
        <charset val="129"/>
      </rPr>
      <t>년납으로할경우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전과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관계없이</t>
    </r>
    <r>
      <rPr>
        <sz val="11"/>
        <color theme="1"/>
        <rFont val="游ゴシック"/>
        <family val="2"/>
        <scheme val="minor"/>
      </rPr>
      <t xml:space="preserve"> 50</t>
    </r>
    <r>
      <rPr>
        <sz val="11"/>
        <color theme="1"/>
        <rFont val="맑은 고딕"/>
        <family val="2"/>
        <charset val="129"/>
      </rPr>
      <t>세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연금개시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받을수있음</t>
    </r>
    <r>
      <rPr>
        <sz val="11"/>
        <color theme="1"/>
        <rFont val="游ゴシック"/>
        <family val="2"/>
        <scheme val="minor"/>
      </rPr>
      <t xml:space="preserve">)
</t>
    </r>
    <r>
      <rPr>
        <sz val="11"/>
        <color theme="1"/>
        <rFont val="맑은 고딕"/>
        <family val="2"/>
        <charset val="129"/>
      </rPr>
      <t>국민연금</t>
    </r>
    <r>
      <rPr>
        <sz val="11"/>
        <color theme="1"/>
        <rFont val="游ゴシック"/>
        <family val="2"/>
        <scheme val="minor"/>
      </rPr>
      <t>(</t>
    </r>
    <r>
      <rPr>
        <sz val="11"/>
        <color theme="1"/>
        <rFont val="맑은 고딕"/>
        <family val="2"/>
        <charset val="129"/>
      </rPr>
      <t>한국</t>
    </r>
    <r>
      <rPr>
        <sz val="11"/>
        <color theme="1"/>
        <rFont val="游ゴシック"/>
        <family val="2"/>
        <scheme val="minor"/>
      </rPr>
      <t>) : 60</t>
    </r>
    <r>
      <rPr>
        <sz val="11"/>
        <color theme="1"/>
        <rFont val="맑은 고딕"/>
        <family val="2"/>
        <charset val="129"/>
      </rPr>
      <t>개월납부됨</t>
    </r>
    <r>
      <rPr>
        <sz val="11"/>
        <color theme="1"/>
        <rFont val="游ゴシック"/>
        <family val="2"/>
        <scheme val="minor"/>
      </rPr>
      <t>(5</t>
    </r>
    <r>
      <rPr>
        <sz val="11"/>
        <color theme="1"/>
        <rFont val="맑은 고딕"/>
        <family val="2"/>
        <charset val="129"/>
      </rPr>
      <t>년</t>
    </r>
    <r>
      <rPr>
        <sz val="11"/>
        <color theme="1"/>
        <rFont val="游ゴシック"/>
        <family val="2"/>
        <scheme val="minor"/>
      </rPr>
      <t>) (6</t>
    </r>
    <r>
      <rPr>
        <sz val="11"/>
        <color theme="1"/>
        <rFont val="맑은 고딕"/>
        <family val="2"/>
        <charset val="129"/>
      </rPr>
      <t>개월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추가납부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예정</t>
    </r>
    <r>
      <rPr>
        <sz val="11"/>
        <color theme="1"/>
        <rFont val="游ゴシック"/>
        <family val="2"/>
        <scheme val="minor"/>
      </rPr>
      <t>-</t>
    </r>
    <r>
      <rPr>
        <sz val="11"/>
        <color theme="1"/>
        <rFont val="맑은 고딕"/>
        <family val="2"/>
        <charset val="129"/>
      </rPr>
      <t>실업급여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추가납입산정</t>
    </r>
    <r>
      <rPr>
        <sz val="11"/>
        <color theme="1"/>
        <rFont val="游ゴシック"/>
        <family val="2"/>
        <scheme val="minor"/>
      </rPr>
      <t>)/120</t>
    </r>
    <r>
      <rPr>
        <sz val="11"/>
        <color theme="1"/>
        <rFont val="맑은 고딕"/>
        <family val="2"/>
        <charset val="129"/>
      </rPr>
      <t>개월</t>
    </r>
    <r>
      <rPr>
        <sz val="11"/>
        <color theme="1"/>
        <rFont val="游ゴシック"/>
        <family val="2"/>
        <scheme val="minor"/>
      </rPr>
      <t>(10</t>
    </r>
    <r>
      <rPr>
        <sz val="11"/>
        <color theme="1"/>
        <rFont val="맑은 고딕"/>
        <family val="2"/>
        <charset val="129"/>
      </rPr>
      <t>년</t>
    </r>
    <r>
      <rPr>
        <sz val="11"/>
        <color theme="1"/>
        <rFont val="游ゴシック"/>
        <family val="2"/>
        <scheme val="minor"/>
      </rPr>
      <t>)</t>
    </r>
    <r>
      <rPr>
        <sz val="11"/>
        <color theme="1"/>
        <rFont val="맑은 고딕"/>
        <family val="2"/>
        <charset val="129"/>
      </rPr>
      <t>채울시</t>
    </r>
    <r>
      <rPr>
        <sz val="11"/>
        <color theme="1"/>
        <rFont val="游ゴシック"/>
        <family val="2"/>
        <scheme val="minor"/>
      </rPr>
      <t xml:space="preserve"> 65</t>
    </r>
    <r>
      <rPr>
        <sz val="11"/>
        <color theme="1"/>
        <rFont val="맑은 고딕"/>
        <family val="2"/>
        <charset val="129"/>
      </rPr>
      <t>세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연금납부받음</t>
    </r>
    <r>
      <rPr>
        <sz val="11"/>
        <color theme="1"/>
        <rFont val="游ゴシック"/>
        <family val="2"/>
        <scheme val="minor"/>
      </rPr>
      <t>/</t>
    </r>
    <r>
      <rPr>
        <sz val="11"/>
        <color theme="1"/>
        <rFont val="맑은 고딕"/>
        <family val="2"/>
        <charset val="129"/>
      </rPr>
      <t>총납부월이</t>
    </r>
    <r>
      <rPr>
        <sz val="11"/>
        <color theme="1"/>
        <rFont val="游ゴシック"/>
        <family val="2"/>
        <scheme val="minor"/>
      </rPr>
      <t xml:space="preserve"> 120</t>
    </r>
    <r>
      <rPr>
        <sz val="11"/>
        <color theme="1"/>
        <rFont val="맑은 고딕"/>
        <family val="2"/>
        <charset val="129"/>
      </rPr>
      <t>개월안될경우</t>
    </r>
    <r>
      <rPr>
        <sz val="11"/>
        <color theme="1"/>
        <rFont val="游ゴシック"/>
        <family val="2"/>
        <scheme val="minor"/>
      </rPr>
      <t xml:space="preserve"> 60</t>
    </r>
    <r>
      <rPr>
        <sz val="11"/>
        <color theme="1"/>
        <rFont val="맑은 고딕"/>
        <family val="2"/>
        <charset val="129"/>
      </rPr>
      <t>세이후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이자</t>
    </r>
    <r>
      <rPr>
        <sz val="11"/>
        <color theme="1"/>
        <rFont val="游ゴシック"/>
        <family val="2"/>
        <scheme val="minor"/>
      </rPr>
      <t>+</t>
    </r>
    <r>
      <rPr>
        <sz val="11"/>
        <color theme="1"/>
        <rFont val="맑은 고딕"/>
        <family val="2"/>
        <charset val="129"/>
      </rPr>
      <t>해서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일시급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지급받음</t>
    </r>
    <r>
      <rPr>
        <sz val="11"/>
        <color theme="1"/>
        <rFont val="游ゴシック"/>
        <family val="2"/>
        <scheme val="minor"/>
      </rPr>
      <t xml:space="preserve">	3</t>
    </r>
    <r>
      <rPr>
        <sz val="11"/>
        <color theme="1"/>
        <rFont val="맑은 고딕"/>
        <family val="2"/>
        <charset val="129"/>
      </rPr>
      <t>년후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갱신해야함</t>
    </r>
    <r>
      <rPr>
        <sz val="11"/>
        <color theme="1"/>
        <rFont val="游ゴシック"/>
        <family val="2"/>
        <scheme val="minor"/>
      </rPr>
      <t>/</t>
    </r>
    <r>
      <rPr>
        <sz val="11"/>
        <color theme="1"/>
        <rFont val="맑은 고딕"/>
        <family val="2"/>
        <charset val="129"/>
      </rPr>
      <t>취업후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국민연금을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이유없이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지속적으로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안낼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경우</t>
    </r>
    <r>
      <rPr>
        <sz val="11"/>
        <color theme="1"/>
        <rFont val="游ゴシック"/>
        <family val="2"/>
        <scheme val="minor"/>
      </rPr>
      <t>, 2022</t>
    </r>
    <r>
      <rPr>
        <sz val="11"/>
        <color theme="1"/>
        <rFont val="맑은 고딕"/>
        <family val="2"/>
        <charset val="129"/>
      </rPr>
      <t>년</t>
    </r>
    <r>
      <rPr>
        <sz val="11"/>
        <color theme="1"/>
        <rFont val="游ゴシック"/>
        <family val="2"/>
        <scheme val="minor"/>
      </rPr>
      <t xml:space="preserve"> 4</t>
    </r>
    <r>
      <rPr>
        <sz val="11"/>
        <color theme="1"/>
        <rFont val="맑은 고딕"/>
        <family val="2"/>
        <charset val="129"/>
      </rPr>
      <t>월</t>
    </r>
    <r>
      <rPr>
        <sz val="11"/>
        <color theme="1"/>
        <rFont val="游ゴシック"/>
        <family val="2"/>
        <scheme val="minor"/>
      </rPr>
      <t xml:space="preserve"> 5</t>
    </r>
    <r>
      <rPr>
        <sz val="11"/>
        <color theme="1"/>
        <rFont val="맑은 고딕"/>
        <family val="2"/>
        <charset val="129"/>
      </rPr>
      <t>일에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다시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돈내는걸로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변경됨</t>
    </r>
    <r>
      <rPr>
        <sz val="11"/>
        <color theme="1"/>
        <rFont val="游ゴシック"/>
        <family val="2"/>
        <scheme val="minor"/>
      </rPr>
      <t xml:space="preserve">. </t>
    </r>
    <r>
      <rPr>
        <sz val="11"/>
        <color theme="1"/>
        <rFont val="맑은 고딕"/>
        <family val="2"/>
        <charset val="129"/>
      </rPr>
      <t>안내려면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이때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돈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안내게</t>
    </r>
    <r>
      <rPr>
        <sz val="11"/>
        <color theme="1"/>
        <rFont val="游ゴシック"/>
        <family val="2"/>
        <scheme val="minor"/>
      </rPr>
      <t xml:space="preserve"> 1355 </t>
    </r>
    <r>
      <rPr>
        <sz val="11"/>
        <color theme="1"/>
        <rFont val="맑은 고딕"/>
        <family val="2"/>
        <charset val="129"/>
      </rPr>
      <t>전화해서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갱신해야함</t>
    </r>
    <r>
      <rPr>
        <sz val="11"/>
        <color theme="1"/>
        <rFont val="游ゴシック"/>
        <family val="2"/>
        <scheme val="minor"/>
      </rPr>
      <t xml:space="preserve">.
</t>
    </r>
    <r>
      <rPr>
        <sz val="11"/>
        <color theme="1"/>
        <rFont val="맑은 고딕"/>
        <family val="2"/>
        <charset val="129"/>
      </rPr>
      <t>국민연금</t>
    </r>
    <r>
      <rPr>
        <sz val="11"/>
        <color theme="1"/>
        <rFont val="游ゴシック"/>
        <family val="2"/>
        <scheme val="minor"/>
      </rPr>
      <t>(</t>
    </r>
    <r>
      <rPr>
        <sz val="11"/>
        <color theme="1"/>
        <rFont val="맑은 고딕"/>
        <family val="2"/>
        <charset val="129"/>
      </rPr>
      <t>일본</t>
    </r>
    <r>
      <rPr>
        <sz val="11"/>
        <color theme="1"/>
        <rFont val="游ゴシック"/>
        <family val="2"/>
        <scheme val="minor"/>
      </rPr>
      <t xml:space="preserve">) : </t>
    </r>
    <r>
      <rPr>
        <sz val="11"/>
        <color theme="1"/>
        <rFont val="맑은 고딕"/>
        <family val="2"/>
        <charset val="129"/>
      </rPr>
      <t>아직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맑은 고딕"/>
        <family val="2"/>
        <charset val="129"/>
      </rPr>
      <t>모름요</t>
    </r>
    <r>
      <rPr>
        <sz val="11"/>
        <color theme="1"/>
        <rFont val="游ゴシック"/>
        <family val="2"/>
        <scheme val="minor"/>
      </rPr>
      <t>~</t>
    </r>
    <phoneticPr fontId="4"/>
  </si>
  <si>
    <t>재산관리</t>
    <phoneticPr fontId="4"/>
  </si>
  <si>
    <t>장기목표</t>
    <phoneticPr fontId="4"/>
  </si>
  <si>
    <t>청약권 사용 : 청약권 현재 국가주택1순위 유지중 : 사용할 경우 안에 돈 뺄수 있음 (500)</t>
    <phoneticPr fontId="4"/>
  </si>
  <si>
    <r>
      <t>최종 나의 목표 : IFS ㅡ 위버스 ㅡ 깁 ㅡ 카도카와 (이력서 쓸때 알만툴 만든걸로 보내기) -&gt; AI기술자 찍기, PL 달고, 현장 직접계약해버리고 거기서 회사만 차리기, 그렇게 사장되기 -&gt; PL 코스 : 일본어 공부 ㅡ 회의 잡는다(내가 참여하고 껴들어가서 담당하는 부분을 늘린다) ㅡ 사람이 없다고 하면서 내 사람을 데려온다 ㅡ 아이러니 하게 코딩을 안하고 지시를 하는 입장이 된다 ㅡ 나와 회사가 다이렉트 계약을 해서 팀을 만들고 회사를 차린다</t>
    </r>
    <r>
      <rPr>
        <sz val="11"/>
        <color theme="1"/>
        <rFont val="맑은 고딕"/>
        <family val="2"/>
        <charset val="129"/>
      </rPr>
      <t xml:space="preserve"> - 프리가 되면 계약 구하는 사이트 정화한테 물어보기 (거래처)</t>
    </r>
    <phoneticPr fontId="4"/>
  </si>
  <si>
    <t>깜빡이 앱, PG연동, 일기예보알람, 테마적용되는 사다리앱, AI발음테스트, AI병아리암수구별</t>
    <phoneticPr fontId="4"/>
  </si>
  <si>
    <t>★ 여행가이드, 코딩카페, 고급주스자판기</t>
    <phoneticPr fontId="4"/>
  </si>
  <si>
    <t>앱i</t>
    <phoneticPr fontId="4"/>
  </si>
  <si>
    <t>유투브i</t>
    <phoneticPr fontId="4"/>
  </si>
  <si>
    <t>사업i</t>
    <phoneticPr fontId="4"/>
  </si>
  <si>
    <r>
      <t xml:space="preserve">★ </t>
    </r>
    <r>
      <rPr>
        <sz val="11"/>
        <color theme="1"/>
        <rFont val="맑은 고딕"/>
        <family val="3"/>
        <charset val="129"/>
      </rPr>
      <t>첫 미스터리컨텐츠 제목 : 절대 보지 마세요, 클릭 금지 -&gt; 인간의 본성(하지말라고 하면 하는 이유 - 아담과 하와의 선악과부터… - 결정된 인간의 본성 - 벗어나려는 부처의 연기법 - 해탈 - 그럼 진정한 해탈이란 무얼까 - 소크라테스는 너자신을 알라 했다. - 인간은 뭘까? 알수가 없다. 사실상 가장 어려운 질문.) /// 마술컨텐츠 제작 / 유투브 키우는 법 검색 = 프로그램, 매크로, 유료 홍보대사, 좋댓구 조회수올리는법 공부, 처음엔 무조건 공부 노래유투브(최고쉬움) *공부집중메탈 // 영상으로 음악 만드는법, 저작권 안걸리는 법 알아내기 // 지니 음악리스트 미리 받아서 저장해두기 // [유투브 채널 이름 : 미스터리 채널] : 1vs1 싸우면 누가이길까(예 강호동 김병지 - 자료모아서) 분석 - 전쟁 - 군대 - 사람은 죽는다 - 유튜버 무의식(안좋은 생각 실현 돈받자 부모죽음) - 프로이드 얘기(엄마랑 안잔남자 없다) - 4차원 (미리 알고있는 느낌) - 대학때 교수가 무의식 얘기 - 데자뷰 - 인간은 동물과 다른 것 같다(호모사피언스 진화? 아니?) - 미싱링크 - 지구의 비밀 &gt; 산에 바다가 있다(에베레스트) - 물 다 어디에 갔을까 ? - 공룡 = 석유 - 석유의 이동  ?? 왜 페르시아에만 있었나? 왜 일본 한국은 동물 잇었는데 없나 ? - 왜 동시다발적으로 언어가 발생치않고 위계적 계보에따라 언어가 이동했나?(한곳에서 이동한 이윱) 참고 유투브 http://m.kmib.co.kr/view.asp?arcid=0922939037#RedyAi - 물의 비밀 (욕하면 바뀜) - 사람은 오래동안 한 지역에 살면 그 지역의 피로 진화? 아니 변경된다. (나치의 유대인 핍박시 백인/황인/흑인이 된 사례) - 모든 인류의 뿌리는 하나로 거슬러 올라간다. 1000명~80억명으로의 변화. 역사적으로 증명되는 사례 - 세상을 지배하는 유대인의 비밀 - 어그로끄는제목 : 소름끼치는 이야기 (운명론, 4차원의 세계 얘기 들어보셨나요), 기생충 등 한국영화 일본인 반응 - 유튜브 컨텐츠 : 선동질 유투빙 (스시vs김치 리얼fact체크 이혼률통계사이트) 체와 에~의 차이, 계층갈등론 계층통제론 설명하기 , 패미니즘을 통한 계급통제론 (기득권이 패미니즘을 비밀리에 지지하는 이유, 음악가사해석, 일본생활(일본에서 일어난 일들 일대기등등), 노래, 치밀하게 연구많이해서, 즐겨찾기 참고하여 공부해두기, 목표설정하기, 텍스트 만들고, 번역기 돌려서 영어/일본어/중국어 자막 만들어놓기, 일본어가르쳐주기(유리코랑:예를들어 테마가 화분증때매 괴로워요), 영화채널, 게임채널, 왕좌의게임등 드라마 요약, 한국을 제 3자관점에서 바라보는 능력, 일본인에게 최불암시리즈를 한다면 ? https://www.youtube.com/watch?v=fs64lzqlWm0 리액션, 일본인에게 한국의 패미니즘 보여주면? 리액션(마스크쓰고해야함), 한국의 여러가지 리액션. 한국드라마 요약 일본어로 해주기, 한국어 자막 설정, 일본음식 먹방, ★ 카스에서 선동할 내 의견 정리좀 해서 만들기, 일본 시민권있면 북한 갈수 있음 - 북한 유튜브, 일본 과자 먹방, 유투브 : 한글-&gt;일본어 번역기의 웃긴 번역 - 유투브 계정 만들기 (한국, 일본) -&gt; 아즈마TV : 한국인이 말하는 이강인 vs 쿠보의 냉정한 평가 -&gt; 1gram으로 다운 , 유투브 계정 만들기 양TV : 토트넘 vs ㅇㅇ 전 무리뉴 인터뷰 분석 손흥민 영어해석 https://www.youtube.com/watch?v=SKza1LwVbkg</t>
    </r>
    <r>
      <rPr>
        <sz val="11"/>
        <color theme="1"/>
        <rFont val="맑은 고딕"/>
        <family val="2"/>
        <charset val="129"/>
      </rPr>
      <t xml:space="preserve"> - 유투브 오늘의 천일문심화편에서 추출한 영어 한문장으로 얻는 인생교훈 (Zoom) 제작 - 7편 with 음악 mv에서 산 bgm 깔기, 영어공부 구조분석 가르치면서 가기</t>
    </r>
    <phoneticPr fontId="4"/>
  </si>
  <si>
    <t>ShortCuts</t>
    <phoneticPr fontId="4"/>
  </si>
  <si>
    <t>祝日</t>
    <phoneticPr fontId="18" type="noConversion"/>
  </si>
  <si>
    <t>ルーチン</t>
    <phoneticPr fontId="18" type="noConversion"/>
  </si>
  <si>
    <t>生徒管理</t>
    <rPh sb="0" eb="4">
      <t>セイトカンリ</t>
    </rPh>
    <phoneticPr fontId="4"/>
  </si>
  <si>
    <t>メーモ</t>
    <phoneticPr fontId="18" type="noConversion"/>
  </si>
  <si>
    <t>金</t>
    <phoneticPr fontId="43" type="noConversion"/>
  </si>
  <si>
    <t>★ 취업비자갱신해야함</t>
    <phoneticPr fontId="43" type="noConversion"/>
  </si>
  <si>
    <t>土</t>
    <phoneticPr fontId="43" type="noConversion"/>
  </si>
  <si>
    <t>한국 국민연금 물어보고 재개(4년 더 필요)</t>
    <phoneticPr fontId="43" type="noConversion"/>
  </si>
  <si>
    <t>日</t>
    <phoneticPr fontId="43" type="noConversion"/>
  </si>
  <si>
    <t>농협 -&gt; SMBC 돈 해외 인출 1천원대로 떨어졌을때 1천만원 해두기</t>
    <phoneticPr fontId="43" type="noConversion"/>
  </si>
  <si>
    <t>★ 첫 기술 비자 만료일</t>
    <phoneticPr fontId="43" type="noConversion"/>
  </si>
  <si>
    <t>최악의 상황 : 비자가 5개월간 안나옴 ㅡ&gt; 여행자 비자로 한국 한번 간다음 돌아와서 3개월 일하면서 기다리기</t>
  </si>
  <si>
    <t>水</t>
    <phoneticPr fontId="43" type="noConversion"/>
  </si>
  <si>
    <t>[F2 월드잡지원금]3차 지원금 신청 기간 : 2021-02-03 ~ 2021-03-31 신청하기!!!!!</t>
    <phoneticPr fontId="43" type="noConversion"/>
  </si>
  <si>
    <t>木</t>
    <phoneticPr fontId="43" type="noConversion"/>
  </si>
  <si>
    <t>옥타 : 6개월 이후 이직시 지원금의 50%인 120만원이 환수됨 // 10개월 이후는 1년 채우는게(내년 1월 7일까지) 나아서 환수가 안됨</t>
    <phoneticPr fontId="43" type="noConversion"/>
  </si>
  <si>
    <t>火</t>
    <phoneticPr fontId="43" type="noConversion"/>
  </si>
  <si>
    <t>형 내생일 3</t>
    <phoneticPr fontId="43" type="noConversion"/>
  </si>
  <si>
    <t>プラン</t>
    <phoneticPr fontId="4"/>
  </si>
  <si>
    <t>来年日程</t>
    <rPh sb="0" eb="2">
      <t>らいねん</t>
    </rPh>
    <rPh sb="2" eb="4">
      <t>にってい</t>
    </rPh>
    <phoneticPr fontId="18" type="noConversion"/>
  </si>
  <si>
    <t>日程1</t>
    <rPh sb="0" eb="2">
      <t>ﾆｯﾃｲ</t>
    </rPh>
    <phoneticPr fontId="43" type="noConversion"/>
  </si>
  <si>
    <t>日程2</t>
    <rPh sb="0" eb="2">
      <t>ﾆｯﾃｲ</t>
    </rPh>
    <phoneticPr fontId="43" type="noConversion"/>
  </si>
  <si>
    <t>日記</t>
    <rPh sb="0" eb="2">
      <t>ニッキ</t>
    </rPh>
    <phoneticPr fontId="4"/>
  </si>
  <si>
    <r>
      <rPr>
        <sz val="11"/>
        <color rgb="FFFFC000"/>
        <rFont val="游ゴシック"/>
        <family val="3"/>
        <charset val="129"/>
        <scheme val="minor"/>
      </rPr>
      <t>이상진</t>
    </r>
    <r>
      <rPr>
        <sz val="11"/>
        <color rgb="FFFFC000"/>
        <rFont val="游ゴシック"/>
        <family val="2"/>
        <scheme val="minor"/>
      </rPr>
      <t>) 5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영어기초수업</t>
    </r>
    <r>
      <rPr>
        <sz val="11"/>
        <color rgb="FFFFC000"/>
        <rFont val="游ゴシック"/>
        <family val="2"/>
        <scheme val="minor"/>
      </rPr>
      <t xml:space="preserve"> 2500</t>
    </r>
    <r>
      <rPr>
        <sz val="11"/>
        <color rgb="FFFFC000"/>
        <rFont val="游ゴシック"/>
        <family val="3"/>
        <charset val="129"/>
        <scheme val="minor"/>
      </rPr>
      <t>엔</t>
    </r>
    <r>
      <rPr>
        <sz val="11"/>
        <color rgb="FFFFC000"/>
        <rFont val="游ゴシック"/>
        <family val="2"/>
        <scheme val="minor"/>
      </rPr>
      <t xml:space="preserve"> 1</t>
    </r>
    <r>
      <rPr>
        <sz val="11"/>
        <color rgb="FFFFC000"/>
        <rFont val="游ゴシック"/>
        <family val="3"/>
        <charset val="129"/>
        <scheme val="minor"/>
      </rPr>
      <t>시간</t>
    </r>
    <r>
      <rPr>
        <sz val="11"/>
        <color rgb="FFFFC000"/>
        <rFont val="游ゴシック"/>
        <family val="2"/>
        <scheme val="minor"/>
      </rPr>
      <t xml:space="preserve"> (2/2) </t>
    </r>
    <r>
      <rPr>
        <sz val="11"/>
        <color rgb="FFFFC000"/>
        <rFont val="游ゴシック"/>
        <family val="3"/>
        <charset val="129"/>
        <scheme val="minor"/>
      </rPr>
      <t>다음시간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스정하고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수업료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받기포함</t>
    </r>
    <phoneticPr fontId="43" type="noConversion"/>
  </si>
  <si>
    <r>
      <rPr>
        <sz val="11"/>
        <color rgb="FF0000FF"/>
        <rFont val="游ゴシック"/>
        <family val="3"/>
        <charset val="129"/>
        <scheme val="minor"/>
      </rPr>
      <t>일요일</t>
    </r>
    <r>
      <rPr>
        <sz val="11"/>
        <color rgb="FF0000FF"/>
        <rFont val="游ゴシック"/>
        <family val="2"/>
        <scheme val="minor"/>
      </rPr>
      <t xml:space="preserve"> 7</t>
    </r>
    <r>
      <rPr>
        <sz val="11"/>
        <color rgb="FF0000FF"/>
        <rFont val="游ゴシック"/>
        <family val="3"/>
        <charset val="129"/>
        <scheme val="minor"/>
      </rPr>
      <t>시</t>
    </r>
    <r>
      <rPr>
        <sz val="11"/>
        <color rgb="FF0000FF"/>
        <rFont val="游ゴシック"/>
        <family val="2"/>
        <scheme val="minor"/>
      </rPr>
      <t xml:space="preserve"> </t>
    </r>
    <r>
      <rPr>
        <sz val="11"/>
        <color rgb="FF0000FF"/>
        <rFont val="游ゴシック"/>
        <family val="3"/>
        <charset val="129"/>
        <scheme val="minor"/>
      </rPr>
      <t>키</t>
    </r>
    <r>
      <rPr>
        <sz val="11"/>
        <color rgb="FF0000FF"/>
        <rFont val="游ゴシック"/>
        <family val="2"/>
        <scheme val="minor"/>
      </rPr>
      <t xml:space="preserve"> </t>
    </r>
    <r>
      <rPr>
        <sz val="11"/>
        <color rgb="FF0000FF"/>
        <rFont val="游ゴシック"/>
        <family val="3"/>
        <charset val="129"/>
        <scheme val="minor"/>
      </rPr>
      <t>옴</t>
    </r>
    <r>
      <rPr>
        <sz val="11"/>
        <color rgb="FF0000FF"/>
        <rFont val="游ゴシック"/>
        <family val="2"/>
        <scheme val="minor"/>
      </rPr>
      <t xml:space="preserve"> </t>
    </r>
    <r>
      <rPr>
        <sz val="11"/>
        <color rgb="FF0000FF"/>
        <rFont val="游ゴシック"/>
        <family val="3"/>
        <charset val="129"/>
        <scheme val="minor"/>
      </rPr>
      <t>저녁</t>
    </r>
    <r>
      <rPr>
        <sz val="11"/>
        <color rgb="FF0000FF"/>
        <rFont val="游ゴシック"/>
        <family val="2"/>
        <scheme val="minor"/>
      </rPr>
      <t xml:space="preserve"> </t>
    </r>
    <r>
      <rPr>
        <sz val="11"/>
        <color rgb="FF0000FF"/>
        <rFont val="游ゴシック"/>
        <family val="3"/>
        <charset val="129"/>
        <scheme val="minor"/>
      </rPr>
      <t>같이</t>
    </r>
    <phoneticPr fontId="43" type="noConversion"/>
  </si>
  <si>
    <r>
      <rPr>
        <sz val="11"/>
        <color rgb="FF0000FF"/>
        <rFont val="游ゴシック"/>
        <family val="3"/>
        <charset val="129"/>
        <scheme val="minor"/>
      </rPr>
      <t>아침</t>
    </r>
    <r>
      <rPr>
        <sz val="11"/>
        <color rgb="FF0000FF"/>
        <rFont val="游ゴシック"/>
        <family val="2"/>
        <scheme val="minor"/>
      </rPr>
      <t>!</t>
    </r>
    <phoneticPr fontId="43" type="noConversion"/>
  </si>
  <si>
    <r>
      <rPr>
        <sz val="11"/>
        <color rgb="FF00B050"/>
        <rFont val="游ゴシック"/>
        <family val="3"/>
        <charset val="129"/>
        <scheme val="minor"/>
      </rPr>
      <t>과외준비</t>
    </r>
    <r>
      <rPr>
        <sz val="11"/>
        <color rgb="FF00B050"/>
        <rFont val="游ゴシック"/>
        <family val="2"/>
        <scheme val="minor"/>
      </rPr>
      <t xml:space="preserve"> - </t>
    </r>
    <r>
      <rPr>
        <sz val="11"/>
        <color rgb="FF00B050"/>
        <rFont val="游ゴシック"/>
        <family val="3"/>
        <charset val="129"/>
        <scheme val="minor"/>
      </rPr>
      <t>엑셀</t>
    </r>
    <r>
      <rPr>
        <sz val="11"/>
        <color rgb="FF00B050"/>
        <rFont val="游ゴシック"/>
        <family val="2"/>
        <scheme val="minor"/>
      </rPr>
      <t xml:space="preserve"> VBA</t>
    </r>
    <r>
      <rPr>
        <sz val="11"/>
        <color rgb="FF00B050"/>
        <rFont val="游ゴシック"/>
        <family val="3"/>
        <charset val="129"/>
        <scheme val="minor"/>
      </rPr>
      <t>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만들거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검색해보기</t>
    </r>
    <phoneticPr fontId="43" type="noConversion"/>
  </si>
  <si>
    <r>
      <rPr>
        <sz val="11"/>
        <color rgb="FFFFC000"/>
        <rFont val="游ゴシック"/>
        <family val="3"/>
        <charset val="129"/>
        <scheme val="minor"/>
      </rPr>
      <t>서</t>
    </r>
    <r>
      <rPr>
        <sz val="11"/>
        <color rgb="FFFFC000"/>
        <rFont val="游ゴシック"/>
        <family val="2"/>
        <scheme val="minor"/>
      </rPr>
      <t xml:space="preserve">) </t>
    </r>
    <r>
      <rPr>
        <sz val="11"/>
        <color rgb="FFFFC000"/>
        <rFont val="游ゴシック"/>
        <family val="3"/>
        <charset val="129"/>
        <scheme val="minor"/>
      </rPr>
      <t>오전</t>
    </r>
    <r>
      <rPr>
        <sz val="11"/>
        <color rgb="FFFFC000"/>
        <rFont val="游ゴシック"/>
        <family val="2"/>
        <scheme val="minor"/>
      </rPr>
      <t xml:space="preserve"> 10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>~12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영어</t>
    </r>
    <r>
      <rPr>
        <sz val="11"/>
        <color rgb="FFFFC000"/>
        <rFont val="游ゴシック"/>
        <family val="2"/>
        <scheme val="minor"/>
      </rPr>
      <t xml:space="preserve"> 1/4 (</t>
    </r>
    <r>
      <rPr>
        <sz val="11"/>
        <color rgb="FFFFC000"/>
        <rFont val="游ゴシック"/>
        <family val="3"/>
        <charset val="129"/>
        <scheme val="minor"/>
      </rPr>
      <t>수업료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받는날</t>
    </r>
    <r>
      <rPr>
        <sz val="11"/>
        <color rgb="FFFFC000"/>
        <rFont val="游ゴシック"/>
        <family val="2"/>
        <scheme val="minor"/>
      </rPr>
      <t xml:space="preserve">, </t>
    </r>
    <r>
      <rPr>
        <sz val="11"/>
        <color rgb="FFFFC000"/>
        <rFont val="游ゴシック"/>
        <family val="3"/>
        <charset val="129"/>
        <scheme val="minor"/>
      </rPr>
      <t>이후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스정</t>
    </r>
    <r>
      <rPr>
        <sz val="11"/>
        <color rgb="FFFFC000"/>
        <rFont val="游ゴシック"/>
        <family val="2"/>
        <scheme val="minor"/>
      </rPr>
      <t>)</t>
    </r>
    <phoneticPr fontId="43" type="noConversion"/>
  </si>
  <si>
    <r>
      <rPr>
        <sz val="11"/>
        <color rgb="FFFFC000"/>
        <rFont val="游ゴシック"/>
        <family val="3"/>
        <charset val="129"/>
        <scheme val="minor"/>
      </rPr>
      <t>킴스쿨</t>
    </r>
    <r>
      <rPr>
        <sz val="11"/>
        <color rgb="FFFFC000"/>
        <rFont val="游ゴシック"/>
        <family val="2"/>
        <scheme val="minor"/>
      </rPr>
      <t xml:space="preserve">) </t>
    </r>
    <r>
      <rPr>
        <sz val="11"/>
        <color rgb="FFFFC000"/>
        <rFont val="游ゴシック"/>
        <family val="3"/>
        <charset val="129"/>
        <scheme val="minor"/>
      </rPr>
      <t>오후</t>
    </r>
    <r>
      <rPr>
        <sz val="11"/>
        <color rgb="FFFFC000"/>
        <rFont val="游ゴシック"/>
        <family val="2"/>
        <scheme val="minor"/>
      </rPr>
      <t xml:space="preserve"> 1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>~4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 xml:space="preserve"> (3</t>
    </r>
    <r>
      <rPr>
        <sz val="11"/>
        <color rgb="FFFFC000"/>
        <rFont val="游ゴシック"/>
        <family val="3"/>
        <charset val="129"/>
        <scheme val="minor"/>
      </rPr>
      <t>시반</t>
    </r>
    <r>
      <rPr>
        <sz val="11"/>
        <color rgb="FFFFC000"/>
        <rFont val="游ゴシック"/>
        <family val="2"/>
        <scheme val="minor"/>
      </rPr>
      <t>~4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사이는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정리해주는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타임</t>
    </r>
    <r>
      <rPr>
        <sz val="11"/>
        <color rgb="FFFFC000"/>
        <rFont val="游ゴシック"/>
        <family val="2"/>
        <scheme val="minor"/>
      </rPr>
      <t xml:space="preserve">) VBA/HTML/Excel (VBA A TO Z, HTML A TO Z, </t>
    </r>
    <r>
      <rPr>
        <sz val="11"/>
        <color rgb="FFFFC000"/>
        <rFont val="游ゴシック"/>
        <family val="3"/>
        <charset val="129"/>
        <scheme val="minor"/>
      </rPr>
      <t>실전템플릿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만들기</t>
    </r>
    <r>
      <rPr>
        <sz val="11"/>
        <color rgb="FFFFC000"/>
        <rFont val="游ゴシック"/>
        <family val="2"/>
        <scheme val="minor"/>
      </rPr>
      <t>) 2/4</t>
    </r>
    <phoneticPr fontId="43" type="noConversion"/>
  </si>
  <si>
    <r>
      <rPr>
        <sz val="11"/>
        <color rgb="FF0000FF"/>
        <rFont val="游ゴシック"/>
        <family val="3"/>
        <charset val="129"/>
        <scheme val="minor"/>
      </rPr>
      <t>키</t>
    </r>
    <r>
      <rPr>
        <sz val="11"/>
        <color rgb="FF0000FF"/>
        <rFont val="游ゴシック"/>
        <family val="2"/>
        <scheme val="minor"/>
      </rPr>
      <t xml:space="preserve"> </t>
    </r>
    <r>
      <rPr>
        <sz val="11"/>
        <color rgb="FF0000FF"/>
        <rFont val="游ゴシック"/>
        <family val="3"/>
        <charset val="129"/>
        <scheme val="minor"/>
      </rPr>
      <t>휴가냄</t>
    </r>
    <phoneticPr fontId="43" type="noConversion"/>
  </si>
  <si>
    <r>
      <t xml:space="preserve">★ </t>
    </r>
    <r>
      <rPr>
        <sz val="11"/>
        <color rgb="FFFF0000"/>
        <rFont val="游ゴシック"/>
        <family val="3"/>
        <charset val="129"/>
        <scheme val="minor"/>
      </rPr>
      <t>이시타니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상에게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재차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확인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연락</t>
    </r>
    <r>
      <rPr>
        <sz val="11"/>
        <color rgb="FFFF0000"/>
        <rFont val="游ゴシック"/>
        <family val="2"/>
        <scheme val="minor"/>
      </rPr>
      <t>! (F2)
1.</t>
    </r>
    <r>
      <rPr>
        <sz val="11"/>
        <color rgb="FFFF0000"/>
        <rFont val="游ゴシック"/>
        <family val="3"/>
        <charset val="129"/>
        <scheme val="minor"/>
      </rPr>
      <t>연금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 xml:space="preserve">수첩
</t>
    </r>
    <r>
      <rPr>
        <sz val="11"/>
        <color rgb="FFFF0000"/>
        <rFont val="游ゴシック"/>
        <family val="2"/>
        <scheme val="minor"/>
      </rPr>
      <t>2.</t>
    </r>
    <r>
      <rPr>
        <sz val="11"/>
        <color rgb="FFFF0000"/>
        <rFont val="游ゴシック"/>
        <family val="3"/>
        <charset val="129"/>
        <scheme val="minor"/>
      </rPr>
      <t>건강보험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피보험자증</t>
    </r>
    <r>
      <rPr>
        <sz val="11"/>
        <color rgb="FFFF0000"/>
        <rFont val="游ゴシック"/>
        <family val="2"/>
        <scheme val="minor"/>
      </rPr>
      <t xml:space="preserve"> 
3.</t>
    </r>
    <r>
      <rPr>
        <sz val="11"/>
        <color rgb="FFFF0000"/>
        <rFont val="游ゴシック"/>
        <family val="3"/>
        <charset val="129"/>
        <scheme val="minor"/>
      </rPr>
      <t xml:space="preserve">건강보험자격상실증명서
</t>
    </r>
    <r>
      <rPr>
        <sz val="11"/>
        <color rgb="FFFF0000"/>
        <rFont val="游ゴシック"/>
        <family val="2"/>
        <scheme val="minor"/>
      </rPr>
      <t>4.</t>
    </r>
    <r>
      <rPr>
        <sz val="11"/>
        <color rgb="FFFF0000"/>
        <rFont val="游ゴシック"/>
        <family val="3"/>
        <charset val="129"/>
        <scheme val="minor"/>
      </rPr>
      <t>원천징수표
이상이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됩니다
잘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부탁드립니다</t>
    </r>
    <r>
      <rPr>
        <sz val="11"/>
        <color rgb="FFFF0000"/>
        <rFont val="游ゴシック"/>
        <family val="2"/>
        <scheme val="minor"/>
      </rPr>
      <t xml:space="preserve">.
</t>
    </r>
    <r>
      <rPr>
        <sz val="11"/>
        <color rgb="FFFF0000"/>
        <rFont val="游ゴシック"/>
        <family val="3"/>
        <charset val="129"/>
        <scheme val="minor"/>
      </rPr>
      <t>결과확인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 xml:space="preserve">니시타니
이직서
</t>
    </r>
    <r>
      <rPr>
        <sz val="11"/>
        <color rgb="FFFF0000"/>
        <rFont val="游ゴシック"/>
        <family val="2"/>
        <scheme val="minor"/>
      </rPr>
      <t>年金手帳
健康保険被保険者証 
健康保険資格喪失証明書
源泉徴収票</t>
    </r>
    <phoneticPr fontId="43" type="noConversion"/>
  </si>
  <si>
    <r>
      <rPr>
        <sz val="11"/>
        <color rgb="FFFF0000"/>
        <rFont val="游ゴシック"/>
        <family val="3"/>
        <charset val="129"/>
        <scheme val="minor"/>
      </rPr>
      <t>엑셀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디비랑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스케쥴러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연동해서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웹상에서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보기</t>
    </r>
    <phoneticPr fontId="43" type="noConversion"/>
  </si>
  <si>
    <r>
      <rPr>
        <sz val="11"/>
        <color rgb="FFFFC000"/>
        <rFont val="游ゴシック"/>
        <family val="3"/>
        <charset val="129"/>
        <scheme val="minor"/>
      </rPr>
      <t>킴스쿨</t>
    </r>
    <r>
      <rPr>
        <sz val="11"/>
        <color rgb="FFFFC000"/>
        <rFont val="游ゴシック"/>
        <family val="2"/>
        <scheme val="minor"/>
      </rPr>
      <t xml:space="preserve">) </t>
    </r>
    <r>
      <rPr>
        <sz val="11"/>
        <color rgb="FFFFC000"/>
        <rFont val="游ゴシック"/>
        <family val="3"/>
        <charset val="129"/>
        <scheme val="minor"/>
      </rPr>
      <t>오후</t>
    </r>
    <r>
      <rPr>
        <sz val="11"/>
        <color rgb="FFFFC000"/>
        <rFont val="游ゴシック"/>
        <family val="2"/>
        <scheme val="minor"/>
      </rPr>
      <t xml:space="preserve"> 1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>~4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 xml:space="preserve"> (3</t>
    </r>
    <r>
      <rPr>
        <sz val="11"/>
        <color rgb="FFFFC000"/>
        <rFont val="游ゴシック"/>
        <family val="3"/>
        <charset val="129"/>
        <scheme val="minor"/>
      </rPr>
      <t>시반</t>
    </r>
    <r>
      <rPr>
        <sz val="11"/>
        <color rgb="FFFFC000"/>
        <rFont val="游ゴシック"/>
        <family val="2"/>
        <scheme val="minor"/>
      </rPr>
      <t>~4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사이는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정리해주는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타임</t>
    </r>
    <r>
      <rPr>
        <sz val="11"/>
        <color rgb="FFFFC000"/>
        <rFont val="游ゴシック"/>
        <family val="2"/>
        <scheme val="minor"/>
      </rPr>
      <t xml:space="preserve">) VBA/HTML/Excel (VBA A TO Z, HTML A TO Z, </t>
    </r>
    <r>
      <rPr>
        <sz val="11"/>
        <color rgb="FFFFC000"/>
        <rFont val="游ゴシック"/>
        <family val="3"/>
        <charset val="129"/>
        <scheme val="minor"/>
      </rPr>
      <t>실전템플릿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만들기</t>
    </r>
    <r>
      <rPr>
        <sz val="11"/>
        <color rgb="FFFFC000"/>
        <rFont val="游ゴシック"/>
        <family val="2"/>
        <scheme val="minor"/>
      </rPr>
      <t>) 3/4</t>
    </r>
    <phoneticPr fontId="43" type="noConversion"/>
  </si>
  <si>
    <r>
      <rPr>
        <sz val="11"/>
        <color theme="1"/>
        <rFont val="游ゴシック"/>
        <family val="3"/>
        <charset val="129"/>
        <scheme val="minor"/>
      </rPr>
      <t>왕성재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축의금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전송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</t>
    </r>
    <r>
      <rPr>
        <sz val="11"/>
        <color theme="1"/>
        <rFont val="游ゴシック"/>
        <family val="2"/>
        <scheme val="minor"/>
      </rPr>
      <t xml:space="preserve"> (</t>
    </r>
    <r>
      <rPr>
        <sz val="11"/>
        <color theme="1"/>
        <rFont val="游ゴシック"/>
        <family val="3"/>
        <charset val="129"/>
        <scheme val="minor"/>
      </rPr>
      <t>카톡</t>
    </r>
    <r>
      <rPr>
        <sz val="11"/>
        <color theme="1"/>
        <rFont val="游ゴシック"/>
        <family val="2"/>
        <scheme val="minor"/>
      </rPr>
      <t>)</t>
    </r>
    <phoneticPr fontId="43" type="noConversion"/>
  </si>
  <si>
    <r>
      <rPr>
        <sz val="11"/>
        <color rgb="FFFFC000"/>
        <rFont val="游ゴシック"/>
        <family val="3"/>
        <charset val="129"/>
        <scheme val="minor"/>
      </rPr>
      <t>킴스쿨</t>
    </r>
    <r>
      <rPr>
        <sz val="11"/>
        <color rgb="FFFFC000"/>
        <rFont val="游ゴシック"/>
        <family val="2"/>
        <scheme val="minor"/>
      </rPr>
      <t xml:space="preserve">) </t>
    </r>
    <r>
      <rPr>
        <sz val="11"/>
        <color rgb="FFFFC000"/>
        <rFont val="游ゴシック"/>
        <family val="3"/>
        <charset val="129"/>
        <scheme val="minor"/>
      </rPr>
      <t>오후</t>
    </r>
    <r>
      <rPr>
        <sz val="11"/>
        <color rgb="FFFFC000"/>
        <rFont val="游ゴシック"/>
        <family val="2"/>
        <scheme val="minor"/>
      </rPr>
      <t xml:space="preserve"> 1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>~4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 xml:space="preserve"> (3</t>
    </r>
    <r>
      <rPr>
        <sz val="11"/>
        <color rgb="FFFFC000"/>
        <rFont val="游ゴシック"/>
        <family val="3"/>
        <charset val="129"/>
        <scheme val="minor"/>
      </rPr>
      <t>시반</t>
    </r>
    <r>
      <rPr>
        <sz val="11"/>
        <color rgb="FFFFC000"/>
        <rFont val="游ゴシック"/>
        <family val="2"/>
        <scheme val="minor"/>
      </rPr>
      <t>~4</t>
    </r>
    <r>
      <rPr>
        <sz val="11"/>
        <color rgb="FFFFC000"/>
        <rFont val="游ゴシック"/>
        <family val="3"/>
        <charset val="129"/>
        <scheme val="minor"/>
      </rPr>
      <t>시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사이는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정리해주는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타임</t>
    </r>
    <r>
      <rPr>
        <sz val="11"/>
        <color rgb="FFFFC000"/>
        <rFont val="游ゴシック"/>
        <family val="2"/>
        <scheme val="minor"/>
      </rPr>
      <t xml:space="preserve">) VBA/HTML/Excel (VBA A TO Z, HTML A TO Z, </t>
    </r>
    <r>
      <rPr>
        <sz val="11"/>
        <color rgb="FFFFC000"/>
        <rFont val="游ゴシック"/>
        <family val="3"/>
        <charset val="129"/>
        <scheme val="minor"/>
      </rPr>
      <t>실전템플릿</t>
    </r>
    <r>
      <rPr>
        <sz val="11"/>
        <color rgb="FFFFC000"/>
        <rFont val="游ゴシック"/>
        <family val="2"/>
        <scheme val="minor"/>
      </rPr>
      <t xml:space="preserve"> </t>
    </r>
    <r>
      <rPr>
        <sz val="11"/>
        <color rgb="FFFFC000"/>
        <rFont val="游ゴシック"/>
        <family val="3"/>
        <charset val="129"/>
        <scheme val="minor"/>
      </rPr>
      <t>만들기</t>
    </r>
    <r>
      <rPr>
        <sz val="11"/>
        <color rgb="FFFFC000"/>
        <rFont val="游ゴシック"/>
        <family val="2"/>
        <scheme val="minor"/>
      </rPr>
      <t>) 4/4</t>
    </r>
    <phoneticPr fontId="43" type="noConversion"/>
  </si>
  <si>
    <r>
      <t>[</t>
    </r>
    <r>
      <rPr>
        <sz val="11"/>
        <color theme="1"/>
        <rFont val="游ゴシック"/>
        <family val="3"/>
        <charset val="129"/>
        <scheme val="minor"/>
      </rPr>
      <t>루틴</t>
    </r>
    <r>
      <rPr>
        <sz val="11"/>
        <color theme="1"/>
        <rFont val="游ゴシック"/>
        <family val="2"/>
        <scheme val="minor"/>
      </rPr>
      <t>]</t>
    </r>
    <r>
      <rPr>
        <sz val="11"/>
        <color theme="1"/>
        <rFont val="游ゴシック"/>
        <family val="3"/>
        <charset val="129"/>
        <scheme val="minor"/>
      </rPr>
      <t>집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대청소</t>
    </r>
    <phoneticPr fontId="43" type="noConversion"/>
  </si>
  <si>
    <r>
      <t xml:space="preserve">★ </t>
    </r>
    <r>
      <rPr>
        <sz val="11"/>
        <color theme="1"/>
        <rFont val="游ゴシック"/>
        <family val="3"/>
        <charset val="129"/>
        <scheme val="minor"/>
      </rPr>
      <t>위버스</t>
    </r>
    <r>
      <rPr>
        <sz val="11"/>
        <color theme="1"/>
        <rFont val="游ゴシック"/>
        <family val="2"/>
        <scheme val="minor"/>
      </rPr>
      <t xml:space="preserve">(weavus) </t>
    </r>
    <r>
      <rPr>
        <sz val="11"/>
        <color theme="1"/>
        <rFont val="游ゴシック"/>
        <family val="3"/>
        <charset val="129"/>
        <scheme val="minor"/>
      </rPr>
      <t>입사일</t>
    </r>
    <r>
      <rPr>
        <sz val="11"/>
        <color theme="1"/>
        <rFont val="游ゴシック"/>
        <family val="2"/>
        <scheme val="minor"/>
      </rPr>
      <t>!</t>
    </r>
    <phoneticPr fontId="43" type="noConversion"/>
  </si>
  <si>
    <r>
      <rPr>
        <sz val="11"/>
        <color rgb="FFFF0000"/>
        <rFont val="游ゴシック"/>
        <family val="3"/>
        <charset val="129"/>
        <scheme val="minor"/>
      </rPr>
      <t>추후</t>
    </r>
    <r>
      <rPr>
        <sz val="11"/>
        <color rgb="FFFF0000"/>
        <rFont val="游ゴシック"/>
        <family val="2"/>
        <scheme val="minor"/>
      </rPr>
      <t xml:space="preserve"> vba</t>
    </r>
    <r>
      <rPr>
        <sz val="11"/>
        <color rgb="FFFF0000"/>
        <rFont val="游ゴシック"/>
        <family val="3"/>
        <charset val="129"/>
        <scheme val="minor"/>
      </rPr>
      <t>가르치게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되면</t>
    </r>
    <r>
      <rPr>
        <sz val="11"/>
        <color rgb="FFFF0000"/>
        <rFont val="游ゴシック"/>
        <family val="2"/>
        <scheme val="minor"/>
      </rPr>
      <t xml:space="preserve"> , </t>
    </r>
    <r>
      <rPr>
        <sz val="11"/>
        <color rgb="FFFF0000"/>
        <rFont val="游ゴシック"/>
        <family val="3"/>
        <charset val="129"/>
        <scheme val="minor"/>
      </rPr>
      <t>현주씨한테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일본어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틀린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것좀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가르쳐달라고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하기</t>
    </r>
    <phoneticPr fontId="43" type="noConversion"/>
  </si>
  <si>
    <r>
      <rPr>
        <sz val="11"/>
        <color rgb="FF00B050"/>
        <rFont val="游ゴシック"/>
        <family val="3"/>
        <charset val="129"/>
        <scheme val="minor"/>
      </rPr>
      <t>향후</t>
    </r>
    <r>
      <rPr>
        <sz val="11"/>
        <color rgb="FF00B050"/>
        <rFont val="游ゴシック"/>
        <family val="2"/>
        <scheme val="minor"/>
      </rPr>
      <t xml:space="preserve"> : kiosk </t>
    </r>
    <r>
      <rPr>
        <sz val="11"/>
        <color rgb="FF00B050"/>
        <rFont val="游ゴシック"/>
        <family val="3"/>
        <charset val="129"/>
        <scheme val="minor"/>
      </rPr>
      <t>사업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배달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사업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회의하기</t>
    </r>
    <phoneticPr fontId="43" type="noConversion"/>
  </si>
  <si>
    <r>
      <t>[</t>
    </r>
    <r>
      <rPr>
        <sz val="11"/>
        <color theme="1"/>
        <rFont val="游ゴシック"/>
        <family val="3"/>
        <charset val="129"/>
        <scheme val="minor"/>
      </rPr>
      <t>월드잡플러스</t>
    </r>
    <r>
      <rPr>
        <sz val="11"/>
        <color theme="1"/>
        <rFont val="游ゴシック"/>
        <family val="2"/>
        <scheme val="minor"/>
      </rPr>
      <t xml:space="preserve">] </t>
    </r>
    <r>
      <rPr>
        <sz val="11"/>
        <color theme="1"/>
        <rFont val="游ゴシック"/>
        <family val="3"/>
        <charset val="129"/>
        <scheme val="minor"/>
      </rPr>
      <t>회원님의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경력정보를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업데이트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해주세요</t>
    </r>
    <r>
      <rPr>
        <sz val="11"/>
        <color theme="1"/>
        <rFont val="游ゴシック"/>
        <family val="2"/>
        <scheme val="minor"/>
      </rPr>
      <t xml:space="preserve">!  -&gt; </t>
    </r>
    <r>
      <rPr>
        <sz val="11"/>
        <color theme="1"/>
        <rFont val="游ゴシック"/>
        <family val="3"/>
        <charset val="129"/>
        <scheme val="minor"/>
      </rPr>
      <t>전화해서</t>
    </r>
    <r>
      <rPr>
        <sz val="11"/>
        <color theme="1"/>
        <rFont val="游ゴシック"/>
        <family val="2"/>
        <scheme val="minor"/>
      </rPr>
      <t xml:space="preserve"> 11</t>
    </r>
    <r>
      <rPr>
        <sz val="11"/>
        <color theme="1"/>
        <rFont val="游ゴシック"/>
        <family val="3"/>
        <charset val="129"/>
        <scheme val="minor"/>
      </rPr>
      <t>월에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그만두고</t>
    </r>
    <r>
      <rPr>
        <sz val="11"/>
        <color theme="1"/>
        <rFont val="游ゴシック"/>
        <family val="2"/>
        <scheme val="minor"/>
      </rPr>
      <t>, 12</t>
    </r>
    <r>
      <rPr>
        <sz val="11"/>
        <color theme="1"/>
        <rFont val="游ゴシック"/>
        <family val="3"/>
        <charset val="129"/>
        <scheme val="minor"/>
      </rPr>
      <t>월</t>
    </r>
    <r>
      <rPr>
        <sz val="11"/>
        <color theme="1"/>
        <rFont val="游ゴシック"/>
        <family val="2"/>
        <scheme val="minor"/>
      </rPr>
      <t xml:space="preserve"> 1</t>
    </r>
    <r>
      <rPr>
        <sz val="11"/>
        <color theme="1"/>
        <rFont val="游ゴシック"/>
        <family val="3"/>
        <charset val="129"/>
        <scheme val="minor"/>
      </rPr>
      <t>일자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위버스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내정받았다고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사실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업뎃후</t>
    </r>
    <r>
      <rPr>
        <sz val="11"/>
        <color theme="1"/>
        <rFont val="游ゴシック"/>
        <family val="2"/>
        <scheme val="minor"/>
      </rPr>
      <t xml:space="preserve"> , 3</t>
    </r>
    <r>
      <rPr>
        <sz val="11"/>
        <color theme="1"/>
        <rFont val="游ゴシック"/>
        <family val="3"/>
        <charset val="129"/>
        <scheme val="minor"/>
      </rPr>
      <t>차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지원금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받는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법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물어보기</t>
    </r>
    <r>
      <rPr>
        <sz val="11"/>
        <color theme="1"/>
        <rFont val="游ゴシック"/>
        <family val="2"/>
        <scheme val="minor"/>
      </rPr>
      <t>!</t>
    </r>
    <phoneticPr fontId="43" type="noConversion"/>
  </si>
  <si>
    <r>
      <t xml:space="preserve">1. </t>
    </r>
    <r>
      <rPr>
        <sz val="11"/>
        <color theme="1"/>
        <rFont val="游ゴシック"/>
        <family val="3"/>
        <charset val="129"/>
        <scheme val="minor"/>
      </rPr>
      <t>동화씨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 xml:space="preserve">비자
</t>
    </r>
    <r>
      <rPr>
        <sz val="11"/>
        <color theme="1"/>
        <rFont val="游ゴシック"/>
        <family val="2"/>
        <scheme val="minor"/>
      </rPr>
      <t>・12</t>
    </r>
    <r>
      <rPr>
        <sz val="11"/>
        <color theme="1"/>
        <rFont val="游ゴシック"/>
        <family val="3"/>
        <charset val="129"/>
        <scheme val="minor"/>
      </rPr>
      <t>월</t>
    </r>
    <r>
      <rPr>
        <sz val="11"/>
        <color theme="1"/>
        <rFont val="游ゴシック"/>
        <family val="2"/>
        <scheme val="minor"/>
      </rPr>
      <t xml:space="preserve"> 1</t>
    </r>
    <r>
      <rPr>
        <sz val="11"/>
        <color theme="1"/>
        <rFont val="游ゴシック"/>
        <family val="3"/>
        <charset val="129"/>
        <scheme val="minor"/>
      </rPr>
      <t>일자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내정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통지서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회사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서류를</t>
    </r>
    <r>
      <rPr>
        <sz val="11"/>
        <color theme="1"/>
        <rFont val="游ゴシック"/>
        <family val="2"/>
        <scheme val="minor"/>
      </rPr>
      <t xml:space="preserve"> 10</t>
    </r>
    <r>
      <rPr>
        <sz val="11"/>
        <color theme="1"/>
        <rFont val="游ゴシック"/>
        <family val="3"/>
        <charset val="129"/>
        <scheme val="minor"/>
      </rPr>
      <t>월중에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발행해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드릴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예정</t>
    </r>
    <r>
      <rPr>
        <sz val="11"/>
        <color theme="1"/>
        <rFont val="游ゴシック"/>
        <family val="2"/>
        <scheme val="minor"/>
      </rPr>
      <t xml:space="preserve"> (</t>
    </r>
    <r>
      <rPr>
        <sz val="11"/>
        <color theme="1"/>
        <rFont val="游ゴシック"/>
        <family val="3"/>
        <charset val="129"/>
        <scheme val="minor"/>
      </rPr>
      <t>회사</t>
    </r>
    <r>
      <rPr>
        <sz val="11"/>
        <color theme="1"/>
        <rFont val="游ゴシック"/>
        <family val="2"/>
        <scheme val="minor"/>
      </rPr>
      <t xml:space="preserve"> : </t>
    </r>
    <r>
      <rPr>
        <sz val="11"/>
        <color theme="1"/>
        <rFont val="游ゴシック"/>
        <family val="3"/>
        <charset val="129"/>
        <scheme val="minor"/>
      </rPr>
      <t>콧대재팬</t>
    </r>
    <r>
      <rPr>
        <sz val="11"/>
        <color theme="1"/>
        <rFont val="游ゴシック"/>
        <family val="2"/>
        <scheme val="minor"/>
      </rPr>
      <t>)
・10</t>
    </r>
    <r>
      <rPr>
        <sz val="11"/>
        <color theme="1"/>
        <rFont val="游ゴシック"/>
        <family val="3"/>
        <charset val="129"/>
        <scheme val="minor"/>
      </rPr>
      <t>월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말에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비자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갱신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신청을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하면</t>
    </r>
    <r>
      <rPr>
        <sz val="11"/>
        <color theme="1"/>
        <rFont val="游ゴシック"/>
        <family val="2"/>
        <scheme val="minor"/>
      </rPr>
      <t xml:space="preserve"> 11</t>
    </r>
    <r>
      <rPr>
        <sz val="11"/>
        <color theme="1"/>
        <rFont val="游ゴシック"/>
        <family val="3"/>
        <charset val="129"/>
        <scheme val="minor"/>
      </rPr>
      <t>월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말에는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비자가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갱신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될것으로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 xml:space="preserve">예상
</t>
    </r>
    <r>
      <rPr>
        <sz val="11"/>
        <color theme="1"/>
        <rFont val="游ゴシック"/>
        <family val="2"/>
        <scheme val="minor"/>
      </rPr>
      <t>・</t>
    </r>
    <r>
      <rPr>
        <sz val="11"/>
        <color theme="1"/>
        <rFont val="游ゴシック"/>
        <family val="3"/>
        <charset val="129"/>
        <scheme val="minor"/>
      </rPr>
      <t>비자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나오는대로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콧대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내정을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취소하고</t>
    </r>
    <r>
      <rPr>
        <sz val="11"/>
        <color theme="1"/>
        <rFont val="游ゴシック"/>
        <family val="2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이건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제가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대행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합니다</t>
    </r>
    <r>
      <rPr>
        <sz val="11"/>
        <color theme="1"/>
        <rFont val="游ゴシック"/>
        <family val="2"/>
        <scheme val="minor"/>
      </rPr>
      <t>), 12</t>
    </r>
    <r>
      <rPr>
        <sz val="11"/>
        <color theme="1"/>
        <rFont val="游ゴシック"/>
        <family val="3"/>
        <charset val="129"/>
        <scheme val="minor"/>
      </rPr>
      <t>월부로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위버스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정사원으로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계약형태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 xml:space="preserve">변경
</t>
    </r>
    <r>
      <rPr>
        <sz val="11"/>
        <color theme="1"/>
        <rFont val="游ゴシック"/>
        <family val="2"/>
        <scheme val="minor"/>
      </rPr>
      <t>・11</t>
    </r>
    <r>
      <rPr>
        <sz val="11"/>
        <color theme="1"/>
        <rFont val="游ゴシック"/>
        <family val="3"/>
        <charset val="129"/>
        <scheme val="minor"/>
      </rPr>
      <t>월은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콧대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내정을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전제로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비자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갱신을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해야하기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때문에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위버스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명의로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사회보험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가입이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불가</t>
    </r>
    <r>
      <rPr>
        <sz val="11"/>
        <color theme="1"/>
        <rFont val="游ゴシック"/>
        <family val="2"/>
        <scheme val="minor"/>
      </rPr>
      <t xml:space="preserve">. </t>
    </r>
    <r>
      <rPr>
        <sz val="11"/>
        <color theme="1"/>
        <rFont val="游ゴシック"/>
        <family val="3"/>
        <charset val="129"/>
        <scheme val="minor"/>
      </rPr>
      <t>고로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업무위임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형태로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단월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 xml:space="preserve">계약
</t>
    </r>
    <r>
      <rPr>
        <sz val="11"/>
        <color theme="1"/>
        <rFont val="游ゴシック"/>
        <family val="2"/>
        <scheme val="minor"/>
      </rPr>
      <t xml:space="preserve">2. </t>
    </r>
    <r>
      <rPr>
        <sz val="11"/>
        <color theme="1"/>
        <rFont val="游ゴシック"/>
        <family val="3"/>
        <charset val="129"/>
        <scheme val="minor"/>
      </rPr>
      <t>퇴직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현재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회사에서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받아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오셔야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할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 xml:space="preserve">것
</t>
    </r>
    <r>
      <rPr>
        <sz val="11"/>
        <color theme="1"/>
        <rFont val="游ゴシック"/>
        <family val="2"/>
        <scheme val="minor"/>
      </rPr>
      <t>年金手帳
健康保険被保険者証 (</t>
    </r>
    <r>
      <rPr>
        <sz val="11"/>
        <color theme="1"/>
        <rFont val="游ゴシック"/>
        <family val="3"/>
        <charset val="129"/>
        <scheme val="minor"/>
      </rPr>
      <t>회사가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보관하는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경우가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있으니</t>
    </r>
    <r>
      <rPr>
        <sz val="11"/>
        <color theme="1"/>
        <rFont val="游ゴシック"/>
        <family val="2"/>
        <scheme val="minor"/>
      </rPr>
      <t xml:space="preserve">, </t>
    </r>
    <r>
      <rPr>
        <sz val="11"/>
        <color theme="1"/>
        <rFont val="游ゴシック"/>
        <family val="3"/>
        <charset val="129"/>
        <scheme val="minor"/>
      </rPr>
      <t>회사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보관시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요청할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것</t>
    </r>
    <r>
      <rPr>
        <sz val="11"/>
        <color theme="1"/>
        <rFont val="游ゴシック"/>
        <family val="2"/>
        <scheme val="minor"/>
      </rPr>
      <t>)
健康保険資格喪失証明書
源泉徴収票</t>
    </r>
    <phoneticPr fontId="43" type="noConversion"/>
  </si>
  <si>
    <r>
      <t>[N1] 2020</t>
    </r>
    <r>
      <rPr>
        <sz val="11"/>
        <color rgb="FFFF0000"/>
        <rFont val="游ゴシック"/>
        <family val="3"/>
        <charset val="129"/>
        <scheme val="minor"/>
      </rPr>
      <t>년</t>
    </r>
    <r>
      <rPr>
        <sz val="11"/>
        <color rgb="FFFF0000"/>
        <rFont val="游ゴシック"/>
        <family val="2"/>
        <scheme val="minor"/>
      </rPr>
      <t xml:space="preserve"> 11</t>
    </r>
    <r>
      <rPr>
        <sz val="11"/>
        <color rgb="FFFF0000"/>
        <rFont val="游ゴシック"/>
        <family val="3"/>
        <charset val="129"/>
        <scheme val="minor"/>
      </rPr>
      <t>월</t>
    </r>
    <r>
      <rPr>
        <sz val="11"/>
        <color rgb="FFFF0000"/>
        <rFont val="游ゴシック"/>
        <family val="2"/>
        <scheme val="minor"/>
      </rPr>
      <t xml:space="preserve"> 20</t>
    </r>
    <r>
      <rPr>
        <sz val="11"/>
        <color rgb="FFFF0000"/>
        <rFont val="游ゴシック"/>
        <family val="3"/>
        <charset val="129"/>
        <scheme val="minor"/>
      </rPr>
      <t>일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수험표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송부예정</t>
    </r>
    <phoneticPr fontId="43" type="noConversion"/>
  </si>
  <si>
    <r>
      <t xml:space="preserve">★ JLPT N1 </t>
    </r>
    <r>
      <rPr>
        <sz val="11"/>
        <color rgb="FFFF0000"/>
        <rFont val="游ゴシック"/>
        <family val="3"/>
        <charset val="129"/>
        <scheme val="minor"/>
      </rPr>
      <t>시험날짜</t>
    </r>
    <r>
      <rPr>
        <sz val="11"/>
        <color rgb="FFFF0000"/>
        <rFont val="游ゴシック"/>
        <family val="2"/>
        <scheme val="minor"/>
      </rPr>
      <t>!</t>
    </r>
    <phoneticPr fontId="43" type="noConversion"/>
  </si>
  <si>
    <r>
      <rPr>
        <sz val="11"/>
        <color theme="1"/>
        <rFont val="游ゴシック"/>
        <family val="3"/>
        <charset val="129"/>
        <scheme val="minor"/>
      </rPr>
      <t>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그만둘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때는</t>
    </r>
    <r>
      <rPr>
        <sz val="11"/>
        <color theme="1"/>
        <rFont val="游ゴシック"/>
        <family val="2"/>
        <scheme val="minor"/>
      </rPr>
      <t xml:space="preserve"> 1</t>
    </r>
    <r>
      <rPr>
        <sz val="11"/>
        <color theme="1"/>
        <rFont val="游ゴシック"/>
        <family val="3"/>
        <charset val="129"/>
        <scheme val="minor"/>
      </rPr>
      <t>달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반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전에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회사에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미리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얘기할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것</t>
    </r>
    <phoneticPr fontId="43" type="noConversion"/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</si>
  <si>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풀기</t>
    </r>
    <phoneticPr fontId="43" type="noConversion"/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</si>
  <si>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풀기</t>
    </r>
    <phoneticPr fontId="43" type="noConversion"/>
  </si>
  <si>
    <r>
      <rPr>
        <sz val="11"/>
        <color rgb="FF00B050"/>
        <rFont val="游ゴシック"/>
        <family val="3"/>
        <charset val="129"/>
        <scheme val="minor"/>
      </rPr>
      <t>라라벨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게시판</t>
    </r>
    <r>
      <rPr>
        <sz val="11"/>
        <color rgb="FF00B050"/>
        <rFont val="游ゴシック"/>
        <family val="2"/>
        <scheme val="minor"/>
      </rPr>
      <t xml:space="preserve"> (https://anko3899.tistory.com/190?category=787953)</t>
    </r>
    <phoneticPr fontId="43" type="noConversion"/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</si>
  <si>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</si>
  <si>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2</t>
    </r>
    <phoneticPr fontId="43" type="noConversion"/>
  </si>
  <si>
    <r>
      <t xml:space="preserve">PHP </t>
    </r>
    <r>
      <rPr>
        <sz val="11"/>
        <color rgb="FF00B050"/>
        <rFont val="游ゴシック"/>
        <family val="3"/>
        <charset val="129"/>
        <scheme val="minor"/>
      </rPr>
      <t>공부한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거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포폴사이트랑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깃에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아카이빙</t>
    </r>
    <phoneticPr fontId="43" type="noConversion"/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</si>
  <si>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3</t>
    </r>
  </si>
  <si>
    <r>
      <rPr>
        <sz val="11"/>
        <color theme="1"/>
        <rFont val="游ゴシック"/>
        <family val="2"/>
        <charset val="129"/>
        <scheme val="minor"/>
      </rPr>
      <t>페이페이</t>
    </r>
    <r>
      <rPr>
        <sz val="11"/>
        <color theme="1"/>
        <rFont val="游ゴシック"/>
        <family val="2"/>
        <scheme val="minor"/>
      </rPr>
      <t xml:space="preserve"> 3</t>
    </r>
    <r>
      <rPr>
        <sz val="11"/>
        <color theme="1"/>
        <rFont val="游ゴシック"/>
        <family val="2"/>
        <charset val="129"/>
        <scheme val="minor"/>
      </rPr>
      <t>천엔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2"/>
        <charset val="129"/>
        <scheme val="minor"/>
      </rPr>
      <t>쓰기</t>
    </r>
    <phoneticPr fontId="43" type="noConversion"/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</si>
  <si>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4</t>
    </r>
  </si>
  <si>
    <r>
      <t xml:space="preserve">restAPI(by postman = </t>
    </r>
    <r>
      <rPr>
        <sz val="11"/>
        <color rgb="FF00B050"/>
        <rFont val="游ゴシック"/>
        <family val="3"/>
        <charset val="129"/>
        <scheme val="minor"/>
      </rPr>
      <t>프론트와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백을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완전분리해서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관리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편하고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비동기라서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속도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향상됨</t>
    </r>
    <r>
      <rPr>
        <sz val="11"/>
        <color rgb="FF00B050"/>
        <rFont val="游ゴシック"/>
        <family val="2"/>
        <scheme val="minor"/>
      </rPr>
      <t>), Docker(CI</t>
    </r>
    <r>
      <rPr>
        <sz val="11"/>
        <color rgb="FF00B050"/>
        <rFont val="游ゴシック"/>
        <family val="3"/>
        <charset val="129"/>
        <scheme val="minor"/>
      </rPr>
      <t>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깃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올리고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유무루로</t>
    </r>
    <r>
      <rPr>
        <sz val="11"/>
        <color rgb="FF00B050"/>
        <rFont val="游ゴシック"/>
        <family val="2"/>
        <scheme val="minor"/>
      </rPr>
      <t xml:space="preserve"> AWS </t>
    </r>
    <r>
      <rPr>
        <sz val="11"/>
        <color rgb="FF00B050"/>
        <rFont val="游ゴシック"/>
        <family val="3"/>
        <charset val="129"/>
        <scheme val="minor"/>
      </rPr>
      <t>자동화배포</t>
    </r>
    <r>
      <rPr>
        <sz val="11"/>
        <color rgb="FF00B050"/>
        <rFont val="游ゴシック"/>
        <family val="2"/>
        <scheme val="minor"/>
      </rPr>
      <t xml:space="preserve"> = </t>
    </r>
    <r>
      <rPr>
        <sz val="11"/>
        <color rgb="FF00B050"/>
        <rFont val="游ゴシック"/>
        <family val="3"/>
        <charset val="129"/>
        <scheme val="minor"/>
      </rPr>
      <t>개발환경을</t>
    </r>
    <r>
      <rPr>
        <sz val="11"/>
        <color rgb="FF00B050"/>
        <rFont val="游ゴシック"/>
        <family val="2"/>
        <scheme val="minor"/>
      </rPr>
      <t xml:space="preserve"> iso</t>
    </r>
    <r>
      <rPr>
        <sz val="11"/>
        <color rgb="FF00B050"/>
        <rFont val="游ゴシック"/>
        <family val="3"/>
        <charset val="129"/>
        <scheme val="minor"/>
      </rPr>
      <t>같이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만들어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언제든지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운영체제에서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자동다운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설치되도록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하는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것</t>
    </r>
    <r>
      <rPr>
        <sz val="11"/>
        <color rgb="FF00B050"/>
        <rFont val="游ゴシック"/>
        <family val="2"/>
        <scheme val="minor"/>
      </rPr>
      <t xml:space="preserve">), reactJS </t>
    </r>
    <r>
      <rPr>
        <sz val="11"/>
        <color rgb="FF00B050"/>
        <rFont val="游ゴシック"/>
        <family val="3"/>
        <charset val="129"/>
        <scheme val="minor"/>
      </rPr>
      <t>기본</t>
    </r>
    <r>
      <rPr>
        <sz val="11"/>
        <color rgb="FF00B050"/>
        <rFont val="游ゴシック"/>
        <family val="2"/>
        <scheme val="minor"/>
      </rPr>
      <t>, Firebase, MacOS (https://l5.appkr.dev/lessons/13-restful-resource-controller.html)</t>
    </r>
    <phoneticPr fontId="43" type="noConversion"/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</si>
  <si>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5</t>
    </r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</si>
  <si>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6</t>
    </r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</si>
  <si>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7</t>
    </r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</si>
  <si>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8</t>
    </r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</si>
  <si>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9</t>
    </r>
  </si>
  <si>
    <r>
      <t xml:space="preserve">reactjs </t>
    </r>
    <r>
      <rPr>
        <sz val="11"/>
        <color rgb="FF00B050"/>
        <rFont val="游ゴシック"/>
        <family val="3"/>
        <charset val="129"/>
        <scheme val="minor"/>
      </rPr>
      <t>공부</t>
    </r>
    <r>
      <rPr>
        <sz val="11"/>
        <color rgb="FF00B050"/>
        <rFont val="游ゴシック"/>
        <family val="2"/>
        <scheme val="minor"/>
      </rPr>
      <t xml:space="preserve"> :  https://www.youtube.com/watch?v=70TZCtvEJ_4&amp;list=PL7jH19IHhOLOFTVD4R8FeZWkwpVi8-9Fv&amp;index=20</t>
    </r>
    <phoneticPr fontId="43" type="noConversion"/>
  </si>
  <si>
    <r>
      <t>N1 1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10</t>
    </r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</si>
  <si>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</si>
  <si>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rPr>
        <sz val="11"/>
        <color rgb="FF00B050"/>
        <rFont val="游ゴシック"/>
        <family val="3"/>
        <charset val="129"/>
        <scheme val="minor"/>
      </rPr>
      <t>라라벨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게시판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채팅</t>
    </r>
    <r>
      <rPr>
        <sz val="11"/>
        <color rgb="FF00B050"/>
        <rFont val="游ゴシック"/>
        <family val="2"/>
        <scheme val="minor"/>
      </rPr>
      <t xml:space="preserve"> (vuejs</t>
    </r>
    <r>
      <rPr>
        <sz val="11"/>
        <color rgb="FF00B050"/>
        <rFont val="游ゴシック"/>
        <family val="3"/>
        <charset val="129"/>
        <scheme val="minor"/>
      </rPr>
      <t>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만들기</t>
    </r>
    <r>
      <rPr>
        <sz val="11"/>
        <color rgb="FF00B050"/>
        <rFont val="游ゴシック"/>
        <family val="2"/>
        <scheme val="minor"/>
      </rPr>
      <t>)</t>
    </r>
    <phoneticPr fontId="43" type="noConversion"/>
  </si>
  <si>
    <r>
      <rPr>
        <sz val="11"/>
        <color rgb="FFFF0000"/>
        <rFont val="游ゴシック"/>
        <family val="3"/>
        <charset val="129"/>
        <scheme val="minor"/>
      </rPr>
      <t>저녁에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월드잡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지원금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입금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확인</t>
    </r>
    <phoneticPr fontId="43" type="noConversion"/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</si>
  <si>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2</t>
    </r>
    <phoneticPr fontId="43" type="noConversion"/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</si>
  <si>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3</t>
    </r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</si>
  <si>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4</t>
    </r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</si>
  <si>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5</t>
    </r>
  </si>
  <si>
    <r>
      <rPr>
        <sz val="11"/>
        <color theme="1"/>
        <rFont val="游ゴシック"/>
        <family val="3"/>
        <charset val="129"/>
        <scheme val="minor"/>
      </rPr>
      <t>라라벨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심화사이트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모음</t>
    </r>
    <r>
      <rPr>
        <sz val="11"/>
        <color theme="1"/>
        <rFont val="游ゴシック"/>
        <family val="2"/>
        <scheme val="minor"/>
      </rPr>
      <t xml:space="preserve"> 
[LAMP]"</t>
    </r>
    <r>
      <rPr>
        <sz val="11"/>
        <color theme="1"/>
        <rFont val="游ゴシック"/>
        <family val="3"/>
        <charset val="129"/>
        <scheme val="minor"/>
      </rPr>
      <t>가상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환경의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개발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환경</t>
    </r>
    <r>
      <rPr>
        <sz val="11"/>
        <color theme="1"/>
        <rFont val="游ゴシック"/>
        <family val="2"/>
        <scheme val="minor"/>
      </rPr>
      <t>" http://www.ovaldesign.jp/memo/vm1
"</t>
    </r>
    <r>
      <rPr>
        <sz val="11"/>
        <color theme="1"/>
        <rFont val="游ゴシック"/>
        <family val="3"/>
        <charset val="129"/>
        <scheme val="minor"/>
      </rPr>
      <t>테라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용어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매크로</t>
    </r>
    <r>
      <rPr>
        <sz val="11"/>
        <color theme="1"/>
        <rFont val="游ゴシック"/>
        <family val="2"/>
        <scheme val="minor"/>
      </rPr>
      <t xml:space="preserve"> 0</t>
    </r>
    <r>
      <rPr>
        <sz val="11"/>
        <color theme="1"/>
        <rFont val="游ゴシック"/>
        <family val="3"/>
        <charset val="129"/>
        <scheme val="minor"/>
      </rPr>
      <t>에서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scheme val="minor"/>
      </rPr>
      <t>"
　http://teraterm.feasible-lab.com/1-1-tera-term/
"</t>
    </r>
    <r>
      <rPr>
        <sz val="11"/>
        <color theme="1"/>
        <rFont val="游ゴシック"/>
        <family val="3"/>
        <charset val="129"/>
        <scheme val="minor"/>
      </rPr>
      <t>초보자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유닉스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명령</t>
    </r>
    <r>
      <rPr>
        <sz val="11"/>
        <color theme="1"/>
        <rFont val="游ゴシック"/>
        <family val="2"/>
        <scheme val="minor"/>
      </rPr>
      <t>" https://techacademy.jp/magazine/6406
"2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만에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마스터</t>
    </r>
    <r>
      <rPr>
        <sz val="11"/>
        <color theme="1"/>
        <rFont val="游ゴシック"/>
        <family val="2"/>
        <scheme val="minor"/>
      </rPr>
      <t xml:space="preserve">!"
</t>
    </r>
    <r>
      <rPr>
        <sz val="11"/>
        <color theme="1"/>
        <rFont val="游ゴシック"/>
        <family val="3"/>
        <charset val="129"/>
        <scheme val="minor"/>
      </rPr>
      <t>리눅스</t>
    </r>
    <r>
      <rPr>
        <sz val="11"/>
        <color theme="1"/>
        <rFont val="游ゴシック"/>
        <family val="2"/>
        <scheme val="minor"/>
      </rPr>
      <t>/</t>
    </r>
    <r>
      <rPr>
        <sz val="11"/>
        <color theme="1"/>
        <rFont val="游ゴシック"/>
        <family val="3"/>
        <charset val="129"/>
        <scheme val="minor"/>
      </rPr>
      <t>유닉스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커맨드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사용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소개</t>
    </r>
    <r>
      <rPr>
        <sz val="11"/>
        <color theme="1"/>
        <rFont val="游ゴシック"/>
        <family val="2"/>
        <scheme val="minor"/>
      </rPr>
      <t>: http://www.sejuku.net/blog/2643
"</t>
    </r>
    <r>
      <rPr>
        <sz val="11"/>
        <color theme="1"/>
        <rFont val="游ゴシック"/>
        <family val="3"/>
        <charset val="129"/>
        <scheme val="minor"/>
      </rPr>
      <t>엔지니어의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입구</t>
    </r>
    <r>
      <rPr>
        <sz val="11"/>
        <color theme="1"/>
        <rFont val="游ゴシック"/>
        <family val="2"/>
        <scheme val="minor"/>
      </rPr>
      <t>" http://www.linuxacademy.ne.jp/lablog/category/knowledge/
'</t>
    </r>
    <r>
      <rPr>
        <sz val="11"/>
        <color theme="1"/>
        <rFont val="游ゴシック"/>
        <family val="3"/>
        <charset val="129"/>
        <scheme val="minor"/>
      </rPr>
      <t>도코</t>
    </r>
    <r>
      <rPr>
        <sz val="11"/>
        <color theme="1"/>
        <rFont val="游ゴシック"/>
        <family val="2"/>
        <scheme val="minor"/>
      </rPr>
      <t xml:space="preserve">QL' http://dokoql.com/
"SQL </t>
    </r>
    <r>
      <rPr>
        <sz val="11"/>
        <color theme="1"/>
        <rFont val="游ゴシック"/>
        <family val="3"/>
        <charset val="129"/>
        <scheme val="minor"/>
      </rPr>
      <t>전략</t>
    </r>
    <r>
      <rPr>
        <sz val="11"/>
        <color theme="1"/>
        <rFont val="游ゴシック"/>
        <family val="2"/>
        <scheme val="minor"/>
      </rPr>
      <t xml:space="preserve">"　
http://sql.main.jp/cont/sql/map.html
"SQL&amp;amp;T-SQL </t>
    </r>
    <r>
      <rPr>
        <sz val="11"/>
        <color theme="1"/>
        <rFont val="游ゴシック"/>
        <family val="3"/>
        <charset val="129"/>
        <scheme val="minor"/>
      </rPr>
      <t>소개</t>
    </r>
    <r>
      <rPr>
        <sz val="11"/>
        <color theme="1"/>
        <rFont val="游ゴシック"/>
        <family val="2"/>
        <scheme val="minor"/>
      </rPr>
      <t>"
http://www.atmarkit.co.jp/fdb/index/subindex/tsql_subindex.html
"</t>
    </r>
    <r>
      <rPr>
        <sz val="11"/>
        <color theme="1"/>
        <rFont val="游ゴシック"/>
        <family val="3"/>
        <charset val="129"/>
        <scheme val="minor"/>
      </rPr>
      <t>코데진</t>
    </r>
    <r>
      <rPr>
        <sz val="11"/>
        <color theme="1"/>
        <rFont val="游ゴシック"/>
        <family val="2"/>
        <scheme val="minor"/>
      </rPr>
      <t>" http://codezine.jp/sql/
'</t>
    </r>
    <r>
      <rPr>
        <sz val="11"/>
        <color theme="1"/>
        <rFont val="游ゴシック"/>
        <family val="3"/>
        <charset val="129"/>
        <scheme val="minor"/>
      </rPr>
      <t>코드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캠프</t>
    </r>
    <r>
      <rPr>
        <sz val="11"/>
        <color theme="1"/>
        <rFont val="游ゴシック"/>
        <family val="2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윈도우윈도우</t>
    </r>
    <r>
      <rPr>
        <sz val="11"/>
        <color theme="1"/>
        <rFont val="游ゴシック"/>
        <family val="2"/>
        <scheme val="minor"/>
      </rPr>
      <t xml:space="preserve">)' https://blog.codecamp.jp/mysql_install
"SQL </t>
    </r>
    <r>
      <rPr>
        <sz val="11"/>
        <color theme="1"/>
        <rFont val="游ゴシック"/>
        <family val="3"/>
        <charset val="129"/>
        <scheme val="minor"/>
      </rPr>
      <t>연습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과정</t>
    </r>
    <r>
      <rPr>
        <sz val="11"/>
        <color theme="1"/>
        <rFont val="游ゴシック"/>
        <family val="2"/>
        <scheme val="minor"/>
      </rPr>
      <t>" http://www.atmarkit.co.jp/fnetwork/index/index_sql.html
"</t>
    </r>
    <r>
      <rPr>
        <sz val="11"/>
        <color theme="1"/>
        <rFont val="游ゴシック"/>
        <family val="3"/>
        <charset val="129"/>
        <scheme val="minor"/>
      </rPr>
      <t>설치</t>
    </r>
    <r>
      <rPr>
        <sz val="11"/>
        <color theme="1"/>
        <rFont val="游ゴシック"/>
        <family val="2"/>
        <scheme val="minor"/>
      </rPr>
      <t xml:space="preserve"> httpd (</t>
    </r>
    <r>
      <rPr>
        <sz val="11"/>
        <color theme="1"/>
        <rFont val="游ゴシック"/>
        <family val="3"/>
        <charset val="129"/>
        <scheme val="minor"/>
      </rPr>
      <t>아파치</t>
    </r>
    <r>
      <rPr>
        <sz val="11"/>
        <color theme="1"/>
        <rFont val="游ゴシック"/>
        <family val="2"/>
        <scheme val="minor"/>
      </rPr>
      <t>)"　
http://server-setting.info/centos/apache_install.html
"</t>
    </r>
    <r>
      <rPr>
        <sz val="11"/>
        <color theme="1"/>
        <rFont val="游ゴシック"/>
        <family val="3"/>
        <charset val="129"/>
        <scheme val="minor"/>
      </rPr>
      <t>초보자를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위한</t>
    </r>
    <r>
      <rPr>
        <sz val="11"/>
        <color theme="1"/>
        <rFont val="游ゴシック"/>
        <family val="2"/>
        <scheme val="minor"/>
      </rPr>
      <t xml:space="preserve"> PHP </t>
    </r>
    <r>
      <rPr>
        <sz val="11"/>
        <color theme="1"/>
        <rFont val="游ゴシック"/>
        <family val="3"/>
        <charset val="129"/>
        <scheme val="minor"/>
      </rPr>
      <t>소개</t>
    </r>
    <r>
      <rPr>
        <sz val="11"/>
        <color theme="1"/>
        <rFont val="游ゴシック"/>
        <family val="2"/>
        <scheme val="minor"/>
      </rPr>
      <t>" http://www.standpower.com/php_environment2.html</t>
    </r>
    <phoneticPr fontId="4"/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</si>
  <si>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6</t>
    </r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</si>
  <si>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7</t>
    </r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</si>
  <si>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8</t>
    </r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</si>
  <si>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9</t>
    </r>
  </si>
  <si>
    <r>
      <t>N1 2</t>
    </r>
    <r>
      <rPr>
        <sz val="11"/>
        <color rgb="FF00B050"/>
        <rFont val="游ゴシック"/>
        <family val="3"/>
        <charset val="129"/>
        <scheme val="minor"/>
      </rPr>
      <t>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모의고사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단어암기</t>
    </r>
    <r>
      <rPr>
        <sz val="11"/>
        <color rgb="FF00B050"/>
        <rFont val="游ゴシック"/>
        <family val="2"/>
        <scheme val="minor"/>
      </rPr>
      <t xml:space="preserve"> 10</t>
    </r>
  </si>
  <si>
    <r>
      <t>N1</t>
    </r>
    <r>
      <rPr>
        <sz val="11"/>
        <color rgb="FF00B050"/>
        <rFont val="游ゴシック"/>
        <family val="3"/>
        <charset val="129"/>
        <scheme val="minor"/>
      </rPr>
      <t>난이도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체크</t>
    </r>
    <r>
      <rPr>
        <sz val="11"/>
        <color rgb="FF00B050"/>
        <rFont val="游ゴシック"/>
        <family val="2"/>
        <scheme val="minor"/>
      </rPr>
      <t xml:space="preserve"> : https://kakomon-quiz.com/jlpt/N1/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</si>
  <si>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1. </t>
    </r>
    <r>
      <rPr>
        <sz val="11"/>
        <color rgb="FF00B050"/>
        <rFont val="游ゴシック"/>
        <family val="3"/>
        <charset val="129"/>
        <scheme val="minor"/>
      </rPr>
      <t>한자읽기에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</si>
  <si>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1. </t>
    </r>
    <r>
      <rPr>
        <sz val="11"/>
        <color rgb="FF00B050"/>
        <rFont val="游ゴシック"/>
        <family val="3"/>
        <charset val="129"/>
        <scheme val="minor"/>
      </rPr>
      <t>한자읽기에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2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</si>
  <si>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1. </t>
    </r>
    <r>
      <rPr>
        <sz val="11"/>
        <color rgb="FF00B050"/>
        <rFont val="游ゴシック"/>
        <family val="3"/>
        <charset val="129"/>
        <scheme val="minor"/>
      </rPr>
      <t>한자읽기에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3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</si>
  <si>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1. </t>
    </r>
    <r>
      <rPr>
        <sz val="11"/>
        <color rgb="FF00B050"/>
        <rFont val="游ゴシック"/>
        <family val="3"/>
        <charset val="129"/>
        <scheme val="minor"/>
      </rPr>
      <t>한자읽기에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4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</si>
  <si>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1. </t>
    </r>
    <r>
      <rPr>
        <sz val="11"/>
        <color rgb="FF00B050"/>
        <rFont val="游ゴシック"/>
        <family val="3"/>
        <charset val="129"/>
        <scheme val="minor"/>
      </rPr>
      <t>한자읽기에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5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</si>
  <si>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1. </t>
    </r>
    <r>
      <rPr>
        <sz val="11"/>
        <color rgb="FF00B050"/>
        <rFont val="游ゴシック"/>
        <family val="3"/>
        <charset val="129"/>
        <scheme val="minor"/>
      </rPr>
      <t>한자읽기에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6</t>
    </r>
  </si>
  <si>
    <r>
      <rPr>
        <sz val="11"/>
        <color rgb="FFFF0000"/>
        <rFont val="游ゴシック"/>
        <family val="3"/>
        <charset val="129"/>
        <scheme val="minor"/>
      </rPr>
      <t>파이썬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애니웨어</t>
    </r>
    <r>
      <rPr>
        <sz val="11"/>
        <color rgb="FFFF0000"/>
        <rFont val="游ゴシック"/>
        <family val="2"/>
        <scheme val="minor"/>
      </rPr>
      <t xml:space="preserve"> : https://m.blog.naver.com/PostView.nhn?blogId=shino1025&amp;logNo=221316423585&amp;proxyReferer=https:%2F%2Fwww.google.com%2F 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</si>
  <si>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2. </t>
    </r>
    <r>
      <rPr>
        <sz val="11"/>
        <color rgb="FF00B050"/>
        <rFont val="游ゴシック"/>
        <family val="3"/>
        <charset val="129"/>
        <scheme val="minor"/>
      </rPr>
      <t>문맥규정에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</si>
  <si>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2. </t>
    </r>
    <r>
      <rPr>
        <sz val="11"/>
        <color rgb="FF00B050"/>
        <rFont val="游ゴシック"/>
        <family val="3"/>
        <charset val="129"/>
        <scheme val="minor"/>
      </rPr>
      <t>문맥규정에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2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</si>
  <si>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2. </t>
    </r>
    <r>
      <rPr>
        <sz val="11"/>
        <color rgb="FF00B050"/>
        <rFont val="游ゴシック"/>
        <family val="3"/>
        <charset val="129"/>
        <scheme val="minor"/>
      </rPr>
      <t>문맥규정에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3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</si>
  <si>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2. </t>
    </r>
    <r>
      <rPr>
        <sz val="11"/>
        <color rgb="FF00B050"/>
        <rFont val="游ゴシック"/>
        <family val="3"/>
        <charset val="129"/>
        <scheme val="minor"/>
      </rPr>
      <t>문맥규정에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4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</si>
  <si>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2. </t>
    </r>
    <r>
      <rPr>
        <sz val="11"/>
        <color rgb="FF00B050"/>
        <rFont val="游ゴシック"/>
        <family val="3"/>
        <charset val="129"/>
        <scheme val="minor"/>
      </rPr>
      <t>문맥규정에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5</t>
    </r>
  </si>
  <si>
    <r>
      <t xml:space="preserve">★ </t>
    </r>
    <r>
      <rPr>
        <sz val="11"/>
        <color rgb="FF00B050"/>
        <rFont val="游ゴシック"/>
        <family val="3"/>
        <charset val="129"/>
        <scheme val="minor"/>
      </rPr>
      <t>스프링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배치</t>
    </r>
    <r>
      <rPr>
        <sz val="11"/>
        <color rgb="FF00B050"/>
        <rFont val="游ゴシック"/>
        <family val="2"/>
        <scheme val="minor"/>
      </rPr>
      <t xml:space="preserve"> : </t>
    </r>
    <r>
      <rPr>
        <sz val="11"/>
        <color rgb="FF00B050"/>
        <rFont val="游ゴシック"/>
        <family val="3"/>
        <charset val="129"/>
        <scheme val="minor"/>
      </rPr>
      <t>휴면계정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삭제</t>
    </r>
    <r>
      <rPr>
        <sz val="11"/>
        <color rgb="FF00B050"/>
        <rFont val="游ゴシック"/>
        <family val="2"/>
        <scheme val="minor"/>
      </rPr>
      <t xml:space="preserve">, DB </t>
    </r>
    <r>
      <rPr>
        <sz val="11"/>
        <color rgb="FF00B050"/>
        <rFont val="游ゴシック"/>
        <family val="3"/>
        <charset val="129"/>
        <scheme val="minor"/>
      </rPr>
      <t>데이터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백업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생일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메일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보내기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</si>
  <si>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2. </t>
    </r>
    <r>
      <rPr>
        <sz val="11"/>
        <color rgb="FF00B050"/>
        <rFont val="游ゴシック"/>
        <family val="3"/>
        <charset val="129"/>
        <scheme val="minor"/>
      </rPr>
      <t>문맥규정에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6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</si>
  <si>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2. </t>
    </r>
    <r>
      <rPr>
        <sz val="11"/>
        <color rgb="FF00B050"/>
        <rFont val="游ゴシック"/>
        <family val="3"/>
        <charset val="129"/>
        <scheme val="minor"/>
      </rPr>
      <t>문맥규정에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7</t>
    </r>
  </si>
  <si>
    <r>
      <t xml:space="preserve">sql </t>
    </r>
    <r>
      <rPr>
        <sz val="11"/>
        <color rgb="FFFF0000"/>
        <rFont val="游ゴシック"/>
        <family val="3"/>
        <charset val="129"/>
        <scheme val="minor"/>
      </rPr>
      <t>심화학습하기</t>
    </r>
    <r>
      <rPr>
        <sz val="11"/>
        <color rgb="FFFF0000"/>
        <rFont val="游ゴシック"/>
        <family val="2"/>
        <scheme val="minor"/>
      </rPr>
      <t xml:space="preserve"> : join</t>
    </r>
    <r>
      <rPr>
        <sz val="11"/>
        <color rgb="FFFF0000"/>
        <rFont val="游ゴシック"/>
        <family val="3"/>
        <charset val="129"/>
        <scheme val="minor"/>
      </rPr>
      <t>개념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필수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이해해야함</t>
    </r>
    <r>
      <rPr>
        <sz val="11"/>
        <color rgb="FFFF0000"/>
        <rFont val="游ゴシック"/>
        <family val="2"/>
        <scheme val="minor"/>
      </rPr>
      <t>, inner join</t>
    </r>
    <r>
      <rPr>
        <sz val="11"/>
        <color rgb="FFFF0000"/>
        <rFont val="游ゴシック"/>
        <family val="3"/>
        <charset val="129"/>
        <scheme val="minor"/>
      </rPr>
      <t>교집합</t>
    </r>
    <r>
      <rPr>
        <sz val="11"/>
        <color rgb="FFFF0000"/>
        <rFont val="游ゴシック"/>
        <family val="2"/>
        <scheme val="minor"/>
      </rPr>
      <t xml:space="preserve">, left/right join </t>
    </r>
    <r>
      <rPr>
        <sz val="11"/>
        <color rgb="FFFF0000"/>
        <rFont val="游ゴシック"/>
        <family val="3"/>
        <charset val="129"/>
        <scheme val="minor"/>
      </rPr>
      <t>어둠유저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전체검색하면</t>
    </r>
    <r>
      <rPr>
        <sz val="11"/>
        <color rgb="FFFF0000"/>
        <rFont val="游ゴシック"/>
        <family val="2"/>
        <scheme val="minor"/>
      </rPr>
      <t xml:space="preserve">, </t>
    </r>
    <r>
      <rPr>
        <sz val="11"/>
        <color rgb="FFFF0000"/>
        <rFont val="游ゴシック"/>
        <family val="3"/>
        <charset val="129"/>
        <scheme val="minor"/>
      </rPr>
      <t>캐쉬템은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있는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사람만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있고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없는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사람은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안뜨게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하는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거</t>
    </r>
    <r>
      <rPr>
        <sz val="11"/>
        <color rgb="FFFF0000"/>
        <rFont val="游ゴシック"/>
        <family val="2"/>
        <scheme val="minor"/>
      </rPr>
      <t xml:space="preserve">) = </t>
    </r>
    <r>
      <rPr>
        <sz val="11"/>
        <color rgb="FFFF0000"/>
        <rFont val="游ゴシック"/>
        <family val="3"/>
        <charset val="129"/>
        <scheme val="minor"/>
      </rPr>
      <t>홈페이지나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깃에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정리해두기</t>
    </r>
    <r>
      <rPr>
        <sz val="11"/>
        <color rgb="FFFF0000"/>
        <rFont val="游ゴシック"/>
        <family val="2"/>
        <scheme val="minor"/>
      </rPr>
      <t xml:space="preserve"> // PLSQL, PostGreDB </t>
    </r>
    <r>
      <rPr>
        <sz val="11"/>
        <color rgb="FFFF0000"/>
        <rFont val="游ゴシック"/>
        <family val="3"/>
        <charset val="129"/>
        <scheme val="minor"/>
      </rPr>
      <t>문법이랑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사용하는법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공부해두기</t>
    </r>
    <phoneticPr fontId="4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</si>
  <si>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3. </t>
    </r>
    <r>
      <rPr>
        <sz val="11"/>
        <color rgb="FF00B050"/>
        <rFont val="游ゴシック"/>
        <family val="3"/>
        <charset val="129"/>
        <scheme val="minor"/>
      </rPr>
      <t>교체유의어에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</si>
  <si>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3. </t>
    </r>
    <r>
      <rPr>
        <sz val="11"/>
        <color rgb="FF00B050"/>
        <rFont val="游ゴシック"/>
        <family val="3"/>
        <charset val="129"/>
        <scheme val="minor"/>
      </rPr>
      <t>교체유의어에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2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</si>
  <si>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3. </t>
    </r>
    <r>
      <rPr>
        <sz val="11"/>
        <color rgb="FF00B050"/>
        <rFont val="游ゴシック"/>
        <family val="3"/>
        <charset val="129"/>
        <scheme val="minor"/>
      </rPr>
      <t>교체유의어에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3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</si>
  <si>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3. </t>
    </r>
    <r>
      <rPr>
        <sz val="11"/>
        <color rgb="FF00B050"/>
        <rFont val="游ゴシック"/>
        <family val="3"/>
        <charset val="129"/>
        <scheme val="minor"/>
      </rPr>
      <t>교체유의어에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4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</si>
  <si>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4. </t>
    </r>
    <r>
      <rPr>
        <sz val="11"/>
        <color rgb="FF00B050"/>
        <rFont val="游ゴシック"/>
        <family val="3"/>
        <charset val="129"/>
        <scheme val="minor"/>
      </rPr>
      <t>용법에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</si>
  <si>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4. </t>
    </r>
    <r>
      <rPr>
        <sz val="11"/>
        <color rgb="FF00B050"/>
        <rFont val="游ゴシック"/>
        <family val="3"/>
        <charset val="129"/>
        <scheme val="minor"/>
      </rPr>
      <t>용법에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2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</si>
  <si>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스피드체크</t>
    </r>
    <r>
      <rPr>
        <sz val="11"/>
        <color rgb="FF00B050"/>
        <rFont val="游ゴシック"/>
        <family val="2"/>
        <scheme val="minor"/>
      </rPr>
      <t xml:space="preserve"> 4. </t>
    </r>
    <r>
      <rPr>
        <sz val="11"/>
        <color rgb="FF00B050"/>
        <rFont val="游ゴシック"/>
        <family val="3"/>
        <charset val="129"/>
        <scheme val="minor"/>
      </rPr>
      <t>용법에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출제된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어휘</t>
    </r>
    <r>
      <rPr>
        <sz val="11"/>
        <color rgb="FF00B050"/>
        <rFont val="游ゴシック"/>
        <family val="2"/>
        <scheme val="minor"/>
      </rPr>
      <t xml:space="preserve"> 3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</si>
  <si>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필수문법</t>
    </r>
    <r>
      <rPr>
        <sz val="11"/>
        <color rgb="FF00B050"/>
        <rFont val="游ゴシック"/>
        <family val="2"/>
        <scheme val="minor"/>
      </rPr>
      <t xml:space="preserve"> 99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</si>
  <si>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필수문법</t>
    </r>
    <r>
      <rPr>
        <sz val="11"/>
        <color rgb="FF00B050"/>
        <rFont val="游ゴシック"/>
        <family val="2"/>
        <scheme val="minor"/>
      </rPr>
      <t xml:space="preserve"> 99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2</t>
    </r>
    <phoneticPr fontId="43" type="noConversion"/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</si>
  <si>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필수문법</t>
    </r>
    <r>
      <rPr>
        <sz val="11"/>
        <color rgb="FF00B050"/>
        <rFont val="游ゴシック"/>
        <family val="2"/>
        <scheme val="minor"/>
      </rPr>
      <t xml:space="preserve"> 99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3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</si>
  <si>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필수문법</t>
    </r>
    <r>
      <rPr>
        <sz val="11"/>
        <color rgb="FF00B050"/>
        <rFont val="游ゴシック"/>
        <family val="2"/>
        <scheme val="minor"/>
      </rPr>
      <t xml:space="preserve"> 99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4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</si>
  <si>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필수문법</t>
    </r>
    <r>
      <rPr>
        <sz val="11"/>
        <color rgb="FF00B050"/>
        <rFont val="游ゴシック"/>
        <family val="2"/>
        <scheme val="minor"/>
      </rPr>
      <t xml:space="preserve"> 99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5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</si>
  <si>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필수문법</t>
    </r>
    <r>
      <rPr>
        <sz val="11"/>
        <color rgb="FF00B050"/>
        <rFont val="游ゴシック"/>
        <family val="2"/>
        <scheme val="minor"/>
      </rPr>
      <t xml:space="preserve"> 99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6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</si>
  <si>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필수문법</t>
    </r>
    <r>
      <rPr>
        <sz val="11"/>
        <color rgb="FF00B050"/>
        <rFont val="游ゴシック"/>
        <family val="2"/>
        <scheme val="minor"/>
      </rPr>
      <t xml:space="preserve"> 99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7</t>
    </r>
  </si>
  <si>
    <r>
      <t xml:space="preserve">N1 </t>
    </r>
    <r>
      <rPr>
        <sz val="11"/>
        <color rgb="FF00B050"/>
        <rFont val="游ゴシック"/>
        <family val="3"/>
        <charset val="129"/>
        <scheme val="minor"/>
      </rPr>
      <t>경어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</si>
  <si>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t>N1 N2</t>
    </r>
    <r>
      <rPr>
        <sz val="11"/>
        <color rgb="FF00B050"/>
        <rFont val="游ゴシック"/>
        <family val="3"/>
        <charset val="129"/>
        <scheme val="minor"/>
      </rPr>
      <t>문법</t>
    </r>
    <r>
      <rPr>
        <sz val="11"/>
        <color rgb="FF00B050"/>
        <rFont val="游ゴシック"/>
        <family val="2"/>
        <scheme val="minor"/>
      </rPr>
      <t xml:space="preserve"> 100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</si>
  <si>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t>N1 N2</t>
    </r>
    <r>
      <rPr>
        <sz val="11"/>
        <color rgb="FF00B050"/>
        <rFont val="游ゴシック"/>
        <family val="3"/>
        <charset val="129"/>
        <scheme val="minor"/>
      </rPr>
      <t>문법</t>
    </r>
    <r>
      <rPr>
        <sz val="11"/>
        <color rgb="FF00B050"/>
        <rFont val="游ゴシック"/>
        <family val="2"/>
        <scheme val="minor"/>
      </rPr>
      <t xml:space="preserve"> 100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2</t>
    </r>
    <phoneticPr fontId="43" type="noConversion"/>
  </si>
  <si>
    <r>
      <t>N1 N2</t>
    </r>
    <r>
      <rPr>
        <sz val="11"/>
        <color rgb="FF00B050"/>
        <rFont val="游ゴシック"/>
        <family val="3"/>
        <charset val="129"/>
        <scheme val="minor"/>
      </rPr>
      <t>문법</t>
    </r>
    <r>
      <rPr>
        <sz val="11"/>
        <color rgb="FF00B050"/>
        <rFont val="游ゴシック"/>
        <family val="2"/>
        <scheme val="minor"/>
      </rPr>
      <t xml:space="preserve"> 100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3</t>
    </r>
  </si>
  <si>
    <r>
      <t>N1 N2</t>
    </r>
    <r>
      <rPr>
        <sz val="11"/>
        <color rgb="FF00B050"/>
        <rFont val="游ゴシック"/>
        <family val="3"/>
        <charset val="129"/>
        <scheme val="minor"/>
      </rPr>
      <t>문법</t>
    </r>
    <r>
      <rPr>
        <sz val="11"/>
        <color rgb="FF00B050"/>
        <rFont val="游ゴシック"/>
        <family val="2"/>
        <scheme val="minor"/>
      </rPr>
      <t xml:space="preserve"> 100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4</t>
    </r>
  </si>
  <si>
    <r>
      <t>N1 N2</t>
    </r>
    <r>
      <rPr>
        <sz val="11"/>
        <color rgb="FF00B050"/>
        <rFont val="游ゴシック"/>
        <family val="3"/>
        <charset val="129"/>
        <scheme val="minor"/>
      </rPr>
      <t>문법</t>
    </r>
    <r>
      <rPr>
        <sz val="11"/>
        <color rgb="FF00B050"/>
        <rFont val="游ゴシック"/>
        <family val="2"/>
        <scheme val="minor"/>
      </rPr>
      <t xml:space="preserve"> 100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5</t>
    </r>
  </si>
  <si>
    <r>
      <t>N1 N2</t>
    </r>
    <r>
      <rPr>
        <sz val="11"/>
        <color rgb="FF00B050"/>
        <rFont val="游ゴシック"/>
        <family val="3"/>
        <charset val="129"/>
        <scheme val="minor"/>
      </rPr>
      <t>문법</t>
    </r>
    <r>
      <rPr>
        <sz val="11"/>
        <color rgb="FF00B050"/>
        <rFont val="游ゴシック"/>
        <family val="2"/>
        <scheme val="minor"/>
      </rPr>
      <t xml:space="preserve"> 100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6</t>
    </r>
  </si>
  <si>
    <r>
      <t>N1 N2</t>
    </r>
    <r>
      <rPr>
        <sz val="11"/>
        <color rgb="FF00B050"/>
        <rFont val="游ゴシック"/>
        <family val="3"/>
        <charset val="129"/>
        <scheme val="minor"/>
      </rPr>
      <t>문법</t>
    </r>
    <r>
      <rPr>
        <sz val="11"/>
        <color rgb="FF00B050"/>
        <rFont val="游ゴシック"/>
        <family val="2"/>
        <scheme val="minor"/>
      </rPr>
      <t xml:space="preserve"> 100</t>
    </r>
    <r>
      <rPr>
        <sz val="11"/>
        <color rgb="FF00B050"/>
        <rFont val="游ゴシック"/>
        <family val="3"/>
        <charset val="129"/>
        <scheme val="minor"/>
      </rPr>
      <t>개</t>
    </r>
    <r>
      <rPr>
        <sz val="11"/>
        <color rgb="FF00B050"/>
        <rFont val="游ゴシック"/>
        <family val="2"/>
        <scheme val="minor"/>
      </rPr>
      <t xml:space="preserve"> 7</t>
    </r>
  </si>
  <si>
    <r>
      <rPr>
        <sz val="11"/>
        <color rgb="FF00B050"/>
        <rFont val="游ゴシック"/>
        <family val="3"/>
        <charset val="129"/>
        <scheme val="minor"/>
      </rPr>
      <t>총정리</t>
    </r>
    <r>
      <rPr>
        <sz val="11"/>
        <color rgb="FF00B050"/>
        <rFont val="游ゴシック"/>
        <family val="2"/>
        <scheme val="minor"/>
      </rPr>
      <t xml:space="preserve"> 1</t>
    </r>
    <phoneticPr fontId="43" type="noConversion"/>
  </si>
  <si>
    <r>
      <rPr>
        <sz val="11"/>
        <color rgb="FF00B050"/>
        <rFont val="游ゴシック"/>
        <family val="3"/>
        <charset val="129"/>
        <scheme val="minor"/>
      </rPr>
      <t>추후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게임개발작</t>
    </r>
    <r>
      <rPr>
        <sz val="11"/>
        <color rgb="FF00B050"/>
        <rFont val="游ゴシック"/>
        <family val="2"/>
        <scheme val="minor"/>
      </rPr>
      <t xml:space="preserve"> : 60 second </t>
    </r>
    <r>
      <rPr>
        <sz val="11"/>
        <color rgb="FF00B050"/>
        <rFont val="游ゴシック"/>
        <family val="3"/>
        <charset val="129"/>
        <scheme val="minor"/>
      </rPr>
      <t>쯔꾸르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버전</t>
    </r>
    <r>
      <rPr>
        <sz val="11"/>
        <color rgb="FF00B050"/>
        <rFont val="游ゴシック"/>
        <family val="2"/>
        <scheme val="minor"/>
      </rPr>
      <t xml:space="preserve"> (3D x HUD</t>
    </r>
    <r>
      <rPr>
        <sz val="11"/>
        <color rgb="FF00B050"/>
        <rFont val="游ゴシック"/>
        <family val="3"/>
        <charset val="129"/>
        <scheme val="minor"/>
      </rPr>
      <t>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제작</t>
    </r>
    <r>
      <rPr>
        <sz val="11"/>
        <color rgb="FF00B050"/>
        <rFont val="游ゴシック"/>
        <family val="2"/>
        <scheme val="minor"/>
      </rPr>
      <t xml:space="preserve">) / MBTI </t>
    </r>
    <r>
      <rPr>
        <sz val="11"/>
        <color rgb="FF00B050"/>
        <rFont val="游ゴシック"/>
        <family val="3"/>
        <charset val="129"/>
        <scheme val="minor"/>
      </rPr>
      <t>테스트</t>
    </r>
    <r>
      <rPr>
        <sz val="11"/>
        <color rgb="FF00B050"/>
        <rFont val="游ゴシック"/>
        <family val="2"/>
        <scheme val="minor"/>
      </rPr>
      <t xml:space="preserve"> = </t>
    </r>
    <r>
      <rPr>
        <sz val="11"/>
        <color rgb="FF00B050"/>
        <rFont val="游ゴシック"/>
        <family val="3"/>
        <charset val="129"/>
        <scheme val="minor"/>
      </rPr>
      <t>스토리모드로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제작</t>
    </r>
    <phoneticPr fontId="43" type="noConversion"/>
  </si>
  <si>
    <r>
      <rPr>
        <sz val="11"/>
        <color rgb="FF00B050"/>
        <rFont val="游ゴシック"/>
        <family val="3"/>
        <charset val="129"/>
        <scheme val="minor"/>
      </rPr>
      <t>자바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서블릿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게시판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깃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작성</t>
    </r>
    <r>
      <rPr>
        <sz val="11"/>
        <color rgb="FF00B050"/>
        <rFont val="游ゴシック"/>
        <family val="2"/>
        <scheme val="minor"/>
      </rPr>
      <t xml:space="preserve"> -&gt; </t>
    </r>
    <r>
      <rPr>
        <sz val="11"/>
        <color rgb="FF00B050"/>
        <rFont val="游ゴシック"/>
        <family val="3"/>
        <charset val="129"/>
        <scheme val="minor"/>
      </rPr>
      <t>자바</t>
    </r>
    <r>
      <rPr>
        <sz val="11"/>
        <color rgb="FF00B050"/>
        <rFont val="游ゴシック"/>
        <family val="2"/>
        <scheme val="minor"/>
      </rPr>
      <t xml:space="preserve"> JSTL</t>
    </r>
    <r>
      <rPr>
        <sz val="11"/>
        <color rgb="FF00B050"/>
        <rFont val="游ゴシック"/>
        <family val="3"/>
        <charset val="129"/>
        <scheme val="minor"/>
      </rPr>
      <t>로의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변환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깃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작성</t>
    </r>
    <r>
      <rPr>
        <sz val="11"/>
        <color rgb="FF00B050"/>
        <rFont val="游ゴシック"/>
        <family val="2"/>
        <scheme val="minor"/>
      </rPr>
      <t xml:space="preserve"> -&gt; pl, postgre sql </t>
    </r>
    <r>
      <rPr>
        <sz val="11"/>
        <color rgb="FF00B050"/>
        <rFont val="游ゴシック"/>
        <family val="3"/>
        <charset val="129"/>
        <scheme val="minor"/>
      </rPr>
      <t>공부</t>
    </r>
    <phoneticPr fontId="43" type="noConversion"/>
  </si>
  <si>
    <r>
      <rPr>
        <sz val="11"/>
        <color rgb="FF00B050"/>
        <rFont val="游ゴシック"/>
        <family val="3"/>
        <charset val="129"/>
        <scheme val="minor"/>
      </rPr>
      <t>스프링</t>
    </r>
    <r>
      <rPr>
        <sz val="11"/>
        <color rgb="FF00B050"/>
        <rFont val="游ゴシック"/>
        <family val="2"/>
        <scheme val="minor"/>
      </rPr>
      <t>+</t>
    </r>
    <r>
      <rPr>
        <sz val="11"/>
        <color rgb="FF00B050"/>
        <rFont val="游ゴシック"/>
        <family val="3"/>
        <charset val="129"/>
        <scheme val="minor"/>
      </rPr>
      <t>롬복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서블릿</t>
    </r>
    <r>
      <rPr>
        <sz val="11"/>
        <color rgb="FF00B050"/>
        <rFont val="游ゴシック"/>
        <family val="2"/>
        <scheme val="minor"/>
      </rPr>
      <t xml:space="preserve">, </t>
    </r>
  </si>
  <si>
    <r>
      <rPr>
        <sz val="11"/>
        <color rgb="FFFF0000"/>
        <rFont val="游ゴシック"/>
        <family val="3"/>
        <charset val="129"/>
        <scheme val="minor"/>
      </rPr>
      <t>안드로이드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데모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버전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만드는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거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메모장보고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제대로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함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만들어보고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정리해두기</t>
    </r>
    <r>
      <rPr>
        <sz val="11"/>
        <color rgb="FFFF0000"/>
        <rFont val="游ゴシック"/>
        <family val="2"/>
        <scheme val="minor"/>
      </rPr>
      <t>, (</t>
    </r>
    <r>
      <rPr>
        <sz val="11"/>
        <color rgb="FFFF0000"/>
        <rFont val="游ゴシック"/>
        <family val="3"/>
        <charset val="129"/>
        <scheme val="minor"/>
      </rPr>
      <t>끊기는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거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프레임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조절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가능한지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확인</t>
    </r>
    <r>
      <rPr>
        <sz val="11"/>
        <color rgb="FFFF0000"/>
        <rFont val="游ゴシック"/>
        <family val="2"/>
        <scheme val="minor"/>
      </rPr>
      <t>)</t>
    </r>
    <phoneticPr fontId="43" type="noConversion"/>
  </si>
  <si>
    <r>
      <t xml:space="preserve">mbti </t>
    </r>
    <r>
      <rPr>
        <sz val="11"/>
        <color rgb="FF00B050"/>
        <rFont val="游ゴシック"/>
        <family val="3"/>
        <charset val="129"/>
        <scheme val="minor"/>
      </rPr>
      <t>사이트만들고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광고만들기</t>
    </r>
    <r>
      <rPr>
        <sz val="11"/>
        <color rgb="FF00B050"/>
        <rFont val="游ゴシック"/>
        <family val="2"/>
        <scheme val="minor"/>
      </rPr>
      <t xml:space="preserve"> - </t>
    </r>
    <r>
      <rPr>
        <sz val="11"/>
        <color rgb="FF00B050"/>
        <rFont val="游ゴシック"/>
        <family val="3"/>
        <charset val="129"/>
        <scheme val="minor"/>
      </rPr>
      <t>광고로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수익내는법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연구</t>
    </r>
    <phoneticPr fontId="43" type="noConversion"/>
  </si>
  <si>
    <r>
      <rPr>
        <sz val="11"/>
        <color theme="1"/>
        <rFont val="游ゴシック"/>
        <family val="3"/>
        <charset val="129"/>
        <scheme val="minor"/>
      </rPr>
      <t>스프링부트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오라클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게시판</t>
    </r>
    <r>
      <rPr>
        <sz val="11"/>
        <color theme="1"/>
        <rFont val="游ゴシック"/>
        <family val="2"/>
        <scheme val="minor"/>
      </rPr>
      <t xml:space="preserve"> : https://romeoh.tistory.com/m/entry/Spring-Boot-Spring-Boot-My-Batis-%EC%97%B0%EB%8F%99-Oracle?category=342153</t>
    </r>
    <phoneticPr fontId="43" type="noConversion"/>
  </si>
  <si>
    <r>
      <rPr>
        <sz val="11"/>
        <color theme="1"/>
        <rFont val="游ゴシック"/>
        <family val="3"/>
        <charset val="129"/>
        <scheme val="minor"/>
      </rPr>
      <t>스프링부트</t>
    </r>
    <r>
      <rPr>
        <sz val="11"/>
        <color theme="1"/>
        <rFont val="游ゴシック"/>
        <family val="2"/>
        <scheme val="minor"/>
      </rPr>
      <t xml:space="preserve"> jpa MySQL</t>
    </r>
    <phoneticPr fontId="43" type="noConversion"/>
  </si>
  <si>
    <r>
      <rPr>
        <sz val="11"/>
        <color theme="1"/>
        <rFont val="游ゴシック"/>
        <family val="3"/>
        <charset val="129"/>
        <scheme val="minor"/>
      </rPr>
      <t>스프링부트</t>
    </r>
    <r>
      <rPr>
        <sz val="11"/>
        <color theme="1"/>
        <rFont val="游ゴシック"/>
        <family val="2"/>
        <scheme val="minor"/>
      </rPr>
      <t xml:space="preserve"> jpa Oracle</t>
    </r>
    <phoneticPr fontId="43" type="noConversion"/>
  </si>
  <si>
    <r>
      <rPr>
        <sz val="11"/>
        <color theme="1"/>
        <rFont val="游ゴシック"/>
        <family val="3"/>
        <charset val="129"/>
        <scheme val="minor"/>
      </rPr>
      <t>스프링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오라클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게시판</t>
    </r>
    <r>
      <rPr>
        <sz val="11"/>
        <color theme="1"/>
        <rFont val="游ゴシック"/>
        <family val="2"/>
        <scheme val="minor"/>
      </rPr>
      <t xml:space="preserve"> https://melonpeach.tistory.com/2?category=806570</t>
    </r>
    <phoneticPr fontId="43" type="noConversion"/>
  </si>
  <si>
    <r>
      <t xml:space="preserve">mv </t>
    </r>
    <r>
      <rPr>
        <sz val="11"/>
        <color theme="1"/>
        <rFont val="游ゴシック"/>
        <family val="3"/>
        <charset val="129"/>
        <scheme val="minor"/>
      </rPr>
      <t>만들기</t>
    </r>
    <r>
      <rPr>
        <sz val="11"/>
        <color theme="1"/>
        <rFont val="游ゴシック"/>
        <family val="2"/>
        <scheme val="minor"/>
      </rPr>
      <t xml:space="preserve"> game/mv/ Txt </t>
    </r>
    <r>
      <rPr>
        <sz val="11"/>
        <color theme="1"/>
        <rFont val="游ゴシック"/>
        <family val="3"/>
        <charset val="129"/>
        <scheme val="minor"/>
      </rPr>
      <t>파일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참조</t>
    </r>
    <phoneticPr fontId="43" type="noConversion"/>
  </si>
  <si>
    <r>
      <rPr>
        <sz val="11"/>
        <color theme="1"/>
        <rFont val="游ゴシック"/>
        <family val="3"/>
        <charset val="129"/>
        <scheme val="minor"/>
      </rPr>
      <t>재산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관리프로그램</t>
    </r>
    <r>
      <rPr>
        <sz val="11"/>
        <color theme="1"/>
        <rFont val="游ゴシック"/>
        <family val="2"/>
        <scheme val="minor"/>
      </rPr>
      <t xml:space="preserve"> reactjs</t>
    </r>
    <r>
      <rPr>
        <sz val="11"/>
        <color theme="1"/>
        <rFont val="游ゴシック"/>
        <family val="3"/>
        <charset val="129"/>
        <scheme val="minor"/>
      </rPr>
      <t>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만들어보기</t>
    </r>
    <phoneticPr fontId="43" type="noConversion"/>
  </si>
  <si>
    <r>
      <rPr>
        <sz val="11"/>
        <color rgb="FF00B050"/>
        <rFont val="游ゴシック"/>
        <family val="3"/>
        <charset val="129"/>
        <scheme val="minor"/>
      </rPr>
      <t>기적의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깜빡이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프로그램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내가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쓸</t>
    </r>
    <r>
      <rPr>
        <sz val="11"/>
        <color rgb="FF00B050"/>
        <rFont val="游ゴシック"/>
        <family val="2"/>
        <scheme val="minor"/>
      </rPr>
      <t xml:space="preserve"> react.js</t>
    </r>
    <r>
      <rPr>
        <sz val="11"/>
        <color rgb="FF00B050"/>
        <rFont val="游ゴシック"/>
        <family val="3"/>
        <charset val="129"/>
        <scheme val="minor"/>
      </rPr>
      <t>랑</t>
    </r>
    <r>
      <rPr>
        <sz val="11"/>
        <color rgb="FF00B050"/>
        <rFont val="游ゴシック"/>
        <family val="2"/>
        <scheme val="minor"/>
      </rPr>
      <t xml:space="preserve"> php</t>
    </r>
    <r>
      <rPr>
        <sz val="11"/>
        <color rgb="FF00B050"/>
        <rFont val="游ゴシック"/>
        <family val="3"/>
        <charset val="129"/>
        <scheme val="minor"/>
      </rPr>
      <t>랑</t>
    </r>
    <r>
      <rPr>
        <sz val="11"/>
        <color rgb="FF00B050"/>
        <rFont val="游ゴシック"/>
        <family val="2"/>
        <scheme val="minor"/>
      </rPr>
      <t xml:space="preserve"> java</t>
    </r>
    <r>
      <rPr>
        <sz val="11"/>
        <color rgb="FF00B050"/>
        <rFont val="游ゴシック"/>
        <family val="3"/>
        <charset val="129"/>
        <scheme val="minor"/>
      </rPr>
      <t>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개발하기</t>
    </r>
    <r>
      <rPr>
        <sz val="11"/>
        <color rgb="FF00B050"/>
        <rFont val="游ゴシック"/>
        <family val="2"/>
        <scheme val="minor"/>
      </rPr>
      <t xml:space="preserve"> -&gt; </t>
    </r>
    <r>
      <rPr>
        <sz val="11"/>
        <color rgb="FF00B050"/>
        <rFont val="游ゴシック"/>
        <family val="3"/>
        <charset val="129"/>
        <scheme val="minor"/>
      </rPr>
      <t>개발후에는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윈도우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시스템로캘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일본어로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변경시작</t>
    </r>
    <r>
      <rPr>
        <sz val="11"/>
        <color rgb="FF00B050"/>
        <rFont val="游ゴシック"/>
        <family val="2"/>
        <scheme val="minor"/>
      </rPr>
      <t>!</t>
    </r>
    <phoneticPr fontId="43" type="noConversion"/>
  </si>
  <si>
    <r>
      <t xml:space="preserve">★ </t>
    </r>
    <r>
      <rPr>
        <sz val="11"/>
        <color rgb="FF00B050"/>
        <rFont val="游ゴシック"/>
        <family val="3"/>
        <charset val="129"/>
        <scheme val="minor"/>
      </rPr>
      <t>유니티로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안드로이드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원터치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방치형게임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과금형게임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만들기</t>
    </r>
    <r>
      <rPr>
        <sz val="11"/>
        <color rgb="FF00B050"/>
        <rFont val="游ゴシック"/>
        <family val="2"/>
        <scheme val="minor"/>
      </rPr>
      <t xml:space="preserve"> : </t>
    </r>
    <r>
      <rPr>
        <sz val="11"/>
        <color rgb="FF00B050"/>
        <rFont val="游ゴシック"/>
        <family val="3"/>
        <charset val="129"/>
        <scheme val="minor"/>
      </rPr>
      <t>방치형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터치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과금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유도게임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안드로이드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만드는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법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보고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기본틀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익히기</t>
    </r>
    <r>
      <rPr>
        <sz val="11"/>
        <color rgb="FF00B050"/>
        <rFont val="游ゴシック"/>
        <family val="2"/>
        <scheme val="minor"/>
      </rPr>
      <t xml:space="preserve"> ! </t>
    </r>
    <r>
      <rPr>
        <sz val="11"/>
        <color rgb="FF00B050"/>
        <rFont val="游ゴシック"/>
        <family val="3"/>
        <charset val="129"/>
        <scheme val="minor"/>
      </rPr>
      <t>등록까지</t>
    </r>
    <r>
      <rPr>
        <sz val="11"/>
        <color rgb="FF00B050"/>
        <rFont val="游ゴシック"/>
        <family val="2"/>
        <scheme val="minor"/>
      </rPr>
      <t xml:space="preserve"> !</t>
    </r>
    <phoneticPr fontId="43" type="noConversion"/>
  </si>
  <si>
    <r>
      <rPr>
        <sz val="11"/>
        <color theme="1"/>
        <rFont val="游ゴシック"/>
        <family val="3"/>
        <charset val="129"/>
        <scheme val="minor"/>
      </rPr>
      <t>유투브</t>
    </r>
    <r>
      <rPr>
        <sz val="11"/>
        <color theme="1"/>
        <rFont val="游ゴシック"/>
        <family val="2"/>
        <scheme val="minor"/>
      </rPr>
      <t xml:space="preserve"> : </t>
    </r>
    <r>
      <rPr>
        <sz val="11"/>
        <color theme="1"/>
        <rFont val="游ゴシック"/>
        <family val="3"/>
        <charset val="129"/>
        <scheme val="minor"/>
      </rPr>
      <t>윈도우메이커로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코딩용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음악영상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제작후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한방에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이어서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만들어보기</t>
    </r>
    <phoneticPr fontId="43" type="noConversion"/>
  </si>
  <si>
    <r>
      <t xml:space="preserve">api, </t>
    </r>
    <r>
      <rPr>
        <sz val="11"/>
        <color theme="1"/>
        <rFont val="游ゴシック"/>
        <family val="3"/>
        <charset val="129"/>
        <scheme val="minor"/>
      </rPr>
      <t>디자인패턴</t>
    </r>
    <r>
      <rPr>
        <sz val="11"/>
        <color theme="1"/>
        <rFont val="游ゴシック"/>
        <family val="2"/>
        <scheme val="minor"/>
      </rPr>
      <t xml:space="preserve">, </t>
    </r>
    <r>
      <rPr>
        <sz val="11"/>
        <color theme="1"/>
        <rFont val="游ゴシック"/>
        <family val="3"/>
        <charset val="129"/>
        <scheme val="minor"/>
      </rPr>
      <t>배치처리</t>
    </r>
    <phoneticPr fontId="43" type="noConversion"/>
  </si>
  <si>
    <r>
      <t xml:space="preserve">Aws Lamp x PHP x Laravel </t>
    </r>
    <r>
      <rPr>
        <sz val="11"/>
        <color theme="1"/>
        <rFont val="游ゴシック"/>
        <family val="3"/>
        <charset val="129"/>
        <scheme val="minor"/>
      </rPr>
      <t>시작하기</t>
    </r>
    <r>
      <rPr>
        <sz val="11"/>
        <color theme="1"/>
        <rFont val="游ゴシック"/>
        <family val="2"/>
        <scheme val="minor"/>
      </rPr>
      <t xml:space="preserve">! http://toriyaru.com/2019/03/04/laravel%E5%B0%8E%E5%85%A5%E3%81%AE%E3%81%9F%E3%82%81%E3%81%AE%E5%82%99%E5%BF%98%E9%8C%B2/ </t>
    </r>
    <r>
      <rPr>
        <sz val="11"/>
        <color theme="1"/>
        <rFont val="游ゴシック"/>
        <family val="3"/>
        <charset val="129"/>
        <scheme val="minor"/>
      </rPr>
      <t>의</t>
    </r>
    <r>
      <rPr>
        <sz val="11"/>
        <color theme="1"/>
        <rFont val="游ゴシック"/>
        <family val="2"/>
        <scheme val="minor"/>
      </rPr>
      <t xml:space="preserve"> 7</t>
    </r>
    <r>
      <rPr>
        <sz val="11"/>
        <color theme="1"/>
        <rFont val="游ゴシック"/>
        <family val="3"/>
        <charset val="129"/>
        <scheme val="minor"/>
      </rPr>
      <t>번째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링크부터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/>
    </r>
  </si>
  <si>
    <r>
      <rPr>
        <sz val="11"/>
        <color rgb="FFFF0000"/>
        <rFont val="游ゴシック"/>
        <family val="3"/>
        <charset val="129"/>
        <scheme val="minor"/>
      </rPr>
      <t>스킬시트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업데이트</t>
    </r>
    <r>
      <rPr>
        <sz val="11"/>
        <color rgb="FFFF0000"/>
        <rFont val="游ゴシック"/>
        <family val="2"/>
        <scheme val="minor"/>
      </rPr>
      <t>(</t>
    </r>
    <r>
      <rPr>
        <sz val="11"/>
        <color rgb="FFFF0000"/>
        <rFont val="游ゴシック"/>
        <family val="3"/>
        <charset val="129"/>
        <scheme val="minor"/>
      </rPr>
      <t>파이썬</t>
    </r>
    <r>
      <rPr>
        <sz val="11"/>
        <color rgb="FFFF0000"/>
        <rFont val="游ゴシック"/>
        <family val="2"/>
        <scheme val="minor"/>
      </rPr>
      <t xml:space="preserve"> opencv, </t>
    </r>
    <r>
      <rPr>
        <sz val="11"/>
        <color rgb="FFFF0000"/>
        <rFont val="游ゴシック"/>
        <family val="3"/>
        <charset val="129"/>
        <scheme val="minor"/>
      </rPr>
      <t>웹크롤링</t>
    </r>
    <r>
      <rPr>
        <sz val="11"/>
        <color rgb="FFFF0000"/>
        <rFont val="游ゴシック"/>
        <family val="2"/>
        <scheme val="minor"/>
      </rPr>
      <t xml:space="preserve">, lamp, reactjs, nodejs, vuejs, laravel…, springboot) -&gt; azumaj </t>
    </r>
    <r>
      <rPr>
        <sz val="11"/>
        <color rgb="FFFF0000"/>
        <rFont val="游ゴシック"/>
        <family val="3"/>
        <charset val="129"/>
        <scheme val="minor"/>
      </rPr>
      <t>홈페이지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포트폴리오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수정</t>
    </r>
    <r>
      <rPr>
        <sz val="11"/>
        <color rgb="FFFF0000"/>
        <rFont val="游ゴシック"/>
        <family val="2"/>
        <scheme val="minor"/>
      </rPr>
      <t xml:space="preserve">(game, opencv </t>
    </r>
    <r>
      <rPr>
        <sz val="11"/>
        <color rgb="FFFF0000"/>
        <rFont val="游ゴシック"/>
        <family val="3"/>
        <charset val="129"/>
        <scheme val="minor"/>
      </rPr>
      <t>프로젝트</t>
    </r>
    <r>
      <rPr>
        <sz val="11"/>
        <color rgb="FFFF0000"/>
        <rFont val="游ゴシック"/>
        <family val="2"/>
        <scheme val="minor"/>
      </rPr>
      <t xml:space="preserve">, reactjs </t>
    </r>
    <r>
      <rPr>
        <sz val="11"/>
        <color rgb="FFFF0000"/>
        <rFont val="游ゴシック"/>
        <family val="3"/>
        <charset val="129"/>
        <scheme val="minor"/>
      </rPr>
      <t>프로젝트랑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스킬게시판에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내용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업뎃</t>
    </r>
    <r>
      <rPr>
        <sz val="11"/>
        <color rgb="FFFF0000"/>
        <rFont val="游ゴシック"/>
        <family val="2"/>
        <scheme val="minor"/>
      </rPr>
      <t xml:space="preserve">, </t>
    </r>
    <r>
      <rPr>
        <sz val="11"/>
        <color rgb="FFFF0000"/>
        <rFont val="游ゴシック"/>
        <family val="3"/>
        <charset val="129"/>
        <scheme val="minor"/>
      </rPr>
      <t>프로필</t>
    </r>
    <r>
      <rPr>
        <sz val="11"/>
        <color rgb="FFFF0000"/>
        <rFont val="游ゴシック"/>
        <family val="2"/>
        <scheme val="minor"/>
      </rPr>
      <t xml:space="preserve"> </t>
    </r>
    <r>
      <rPr>
        <sz val="11"/>
        <color rgb="FFFF0000"/>
        <rFont val="游ゴシック"/>
        <family val="3"/>
        <charset val="129"/>
        <scheme val="minor"/>
      </rPr>
      <t>수정</t>
    </r>
    <r>
      <rPr>
        <sz val="11"/>
        <color rgb="FFFF0000"/>
        <rFont val="游ゴシック"/>
        <family val="2"/>
        <scheme val="minor"/>
      </rPr>
      <t>)</t>
    </r>
    <phoneticPr fontId="43" type="noConversion"/>
  </si>
  <si>
    <r>
      <t>azuma4</t>
    </r>
    <r>
      <rPr>
        <sz val="11"/>
        <color rgb="FF00B050"/>
        <rFont val="游ゴシック"/>
        <family val="3"/>
        <charset val="129"/>
        <scheme val="minor"/>
      </rPr>
      <t>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명칭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한국화</t>
    </r>
    <r>
      <rPr>
        <sz val="11"/>
        <color rgb="FF00B050"/>
        <rFont val="游ゴシック"/>
        <family val="2"/>
        <scheme val="minor"/>
      </rPr>
      <t>, sBBS1</t>
    </r>
    <r>
      <rPr>
        <sz val="11"/>
        <color rgb="FF00B050"/>
        <rFont val="游ゴシック"/>
        <family val="3"/>
        <charset val="129"/>
        <scheme val="minor"/>
      </rPr>
      <t>화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끝내고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주석좀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아는대로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많이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달아놓고</t>
    </r>
    <r>
      <rPr>
        <sz val="11"/>
        <color rgb="FF00B050"/>
        <rFont val="游ゴシック"/>
        <family val="2"/>
        <scheme val="minor"/>
      </rPr>
      <t>, top</t>
    </r>
    <r>
      <rPr>
        <sz val="11"/>
        <color rgb="FF00B050"/>
        <rFont val="游ゴシック"/>
        <family val="3"/>
        <charset val="129"/>
        <scheme val="minor"/>
      </rPr>
      <t>에</t>
    </r>
    <r>
      <rPr>
        <sz val="11"/>
        <color rgb="FF00B050"/>
        <rFont val="游ゴシック"/>
        <family val="2"/>
        <scheme val="minor"/>
      </rPr>
      <t xml:space="preserve"> css/html </t>
    </r>
    <r>
      <rPr>
        <sz val="11"/>
        <color rgb="FF00B050"/>
        <rFont val="游ゴシック"/>
        <family val="3"/>
        <charset val="129"/>
        <scheme val="minor"/>
      </rPr>
      <t>빼보고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돌려보고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이상없으면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다시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끼워넣기</t>
    </r>
    <r>
      <rPr>
        <sz val="11"/>
        <color rgb="FF00B050"/>
        <rFont val="游ゴシック"/>
        <family val="2"/>
        <scheme val="minor"/>
      </rPr>
      <t xml:space="preserve"> (</t>
    </r>
    <r>
      <rPr>
        <sz val="11"/>
        <color rgb="FF00B050"/>
        <rFont val="游ゴシック"/>
        <family val="3"/>
        <charset val="129"/>
        <scheme val="minor"/>
      </rPr>
      <t>아직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완성된건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아니니까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업로드는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아직아님</t>
    </r>
    <r>
      <rPr>
        <sz val="11"/>
        <color rgb="FF00B050"/>
        <rFont val="游ゴシック"/>
        <family val="2"/>
        <scheme val="minor"/>
      </rPr>
      <t>)</t>
    </r>
    <phoneticPr fontId="43" type="noConversion"/>
  </si>
  <si>
    <r>
      <t xml:space="preserve">THE JAVA(BBS1, Blog1 </t>
    </r>
    <r>
      <rPr>
        <sz val="11"/>
        <color rgb="FF00B050"/>
        <rFont val="游ゴシック"/>
        <family val="3"/>
        <charset val="129"/>
        <scheme val="minor"/>
      </rPr>
      <t>매퍼수정</t>
    </r>
    <r>
      <rPr>
        <sz val="11"/>
        <color rgb="FF00B050"/>
        <rFont val="游ゴシック"/>
        <family val="2"/>
        <scheme val="minor"/>
      </rPr>
      <t xml:space="preserve"> : </t>
    </r>
    <r>
      <rPr>
        <sz val="11"/>
        <color rgb="FF00B050"/>
        <rFont val="游ゴシック"/>
        <family val="3"/>
        <charset val="129"/>
        <scheme val="minor"/>
      </rPr>
      <t>컬럼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다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꺼내도록</t>
    </r>
    <r>
      <rPr>
        <sz val="11"/>
        <color rgb="FF00B050"/>
        <rFont val="游ゴシック"/>
        <family val="2"/>
        <scheme val="minor"/>
      </rPr>
      <t xml:space="preserve"> (</t>
    </r>
    <r>
      <rPr>
        <sz val="11"/>
        <color rgb="FF00B050"/>
        <rFont val="游ゴシック"/>
        <family val="3"/>
        <charset val="129"/>
        <scheme val="minor"/>
      </rPr>
      <t>카테고리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링크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즐찾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중요도</t>
    </r>
    <r>
      <rPr>
        <sz val="11"/>
        <color rgb="FF00B050"/>
        <rFont val="游ゴシック"/>
        <family val="2"/>
        <scheme val="minor"/>
      </rPr>
      <t xml:space="preserve">(1~5), </t>
    </r>
    <r>
      <rPr>
        <sz val="11"/>
        <color rgb="FF00B050"/>
        <rFont val="游ゴシック"/>
        <family val="3"/>
        <charset val="129"/>
        <scheme val="minor"/>
      </rPr>
      <t>사진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추가메모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완료여부</t>
    </r>
    <r>
      <rPr>
        <sz val="11"/>
        <color rgb="FF00B050"/>
        <rFont val="游ゴシック"/>
        <family val="2"/>
        <scheme val="minor"/>
      </rPr>
      <t xml:space="preserve">) </t>
    </r>
    <r>
      <rPr>
        <sz val="11"/>
        <color rgb="FF00B050"/>
        <rFont val="游ゴシック"/>
        <family val="3"/>
        <charset val="129"/>
        <scheme val="minor"/>
      </rPr>
      <t>그리고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자기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아이디만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보이게</t>
    </r>
    <r>
      <rPr>
        <sz val="11"/>
        <color rgb="FF00B050"/>
        <rFont val="游ゴシック"/>
        <family val="2"/>
        <scheme val="minor"/>
      </rPr>
      <t>) (</t>
    </r>
    <r>
      <rPr>
        <sz val="11"/>
        <color rgb="FF00B050"/>
        <rFont val="游ゴシック"/>
        <family val="3"/>
        <charset val="129"/>
        <scheme val="minor"/>
      </rPr>
      <t>비로그인시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뜨는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창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제작하기</t>
    </r>
    <r>
      <rPr>
        <sz val="11"/>
        <color rgb="FF00B050"/>
        <rFont val="游ゴシック"/>
        <family val="2"/>
        <scheme val="minor"/>
      </rPr>
      <t xml:space="preserve">) (index.jsp </t>
    </r>
    <r>
      <rPr>
        <sz val="11"/>
        <color rgb="FF00B050"/>
        <rFont val="游ゴシック"/>
        <family val="3"/>
        <charset val="129"/>
        <scheme val="minor"/>
      </rPr>
      <t>파일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본문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검색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버튼을</t>
    </r>
    <r>
      <rPr>
        <sz val="11"/>
        <color rgb="FF00B050"/>
        <rFont val="游ゴシック"/>
        <family val="2"/>
        <scheme val="minor"/>
      </rPr>
      <t xml:space="preserve"> submit</t>
    </r>
    <r>
      <rPr>
        <sz val="11"/>
        <color rgb="FF00B050"/>
        <rFont val="游ゴシック"/>
        <family val="3"/>
        <charset val="129"/>
        <scheme val="minor"/>
      </rPr>
      <t>할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시</t>
    </r>
    <r>
      <rPr>
        <sz val="11"/>
        <color rgb="FF00B050"/>
        <rFont val="游ゴシック"/>
        <family val="2"/>
        <scheme val="minor"/>
      </rPr>
      <t xml:space="preserve"> bbs1</t>
    </r>
    <r>
      <rPr>
        <sz val="11"/>
        <color rgb="FF00B050"/>
        <rFont val="游ゴシック"/>
        <family val="3"/>
        <charset val="129"/>
        <scheme val="minor"/>
      </rPr>
      <t>으로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이동하게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설계</t>
    </r>
    <r>
      <rPr>
        <sz val="11"/>
        <color rgb="FF00B050"/>
        <rFont val="游ゴシック"/>
        <family val="2"/>
        <scheme val="minor"/>
      </rPr>
      <t>) (</t>
    </r>
    <r>
      <rPr>
        <sz val="11"/>
        <color rgb="FF00B050"/>
        <rFont val="游ゴシック"/>
        <family val="3"/>
        <charset val="129"/>
        <scheme val="minor"/>
      </rPr>
      <t>최종으로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모든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페이지에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매뉴얼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버튼</t>
    </r>
    <r>
      <rPr>
        <sz val="11"/>
        <color rgb="FF00B050"/>
        <rFont val="游ゴシック"/>
        <family val="2"/>
        <scheme val="minor"/>
      </rPr>
      <t xml:space="preserve"> js</t>
    </r>
    <r>
      <rPr>
        <sz val="11"/>
        <color rgb="FF00B050"/>
        <rFont val="游ゴシック"/>
        <family val="3"/>
        <charset val="129"/>
        <scheme val="minor"/>
      </rPr>
      <t>등록</t>
    </r>
    <r>
      <rPr>
        <sz val="11"/>
        <color rgb="FF00B050"/>
        <rFont val="游ゴシック"/>
        <family val="2"/>
        <scheme val="minor"/>
      </rPr>
      <t xml:space="preserve">!) / </t>
    </r>
    <r>
      <rPr>
        <sz val="11"/>
        <color rgb="FF00B050"/>
        <rFont val="游ゴシック"/>
        <family val="3"/>
        <charset val="129"/>
        <scheme val="minor"/>
      </rPr>
      <t>일본어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다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수정</t>
    </r>
    <r>
      <rPr>
        <sz val="11"/>
        <color rgb="FF00B050"/>
        <rFont val="游ゴシック"/>
        <family val="2"/>
        <scheme val="minor"/>
      </rPr>
      <t xml:space="preserve">! (letter </t>
    </r>
    <r>
      <rPr>
        <sz val="11"/>
        <color rgb="FF00B050"/>
        <rFont val="游ゴシック"/>
        <family val="3"/>
        <charset val="129"/>
        <scheme val="minor"/>
      </rPr>
      <t>부분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켄메이</t>
    </r>
    <r>
      <rPr>
        <sz val="11"/>
        <color rgb="FF00B050"/>
        <rFont val="游ゴシック"/>
        <family val="2"/>
        <scheme val="minor"/>
      </rPr>
      <t xml:space="preserve">, </t>
    </r>
    <r>
      <rPr>
        <sz val="11"/>
        <color rgb="FF00B050"/>
        <rFont val="游ゴシック"/>
        <family val="3"/>
        <charset val="129"/>
        <scheme val="minor"/>
      </rPr>
      <t>혼분</t>
    </r>
    <r>
      <rPr>
        <sz val="11"/>
        <color rgb="FF00B050"/>
        <rFont val="游ゴシック"/>
        <family val="2"/>
        <scheme val="minor"/>
      </rPr>
      <t>), API</t>
    </r>
    <r>
      <rPr>
        <sz val="11"/>
        <color rgb="FF00B050"/>
        <rFont val="游ゴシック"/>
        <family val="3"/>
        <charset val="129"/>
        <scheme val="minor"/>
      </rPr>
      <t>라던지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 xml:space="preserve">디자인페턴
</t>
    </r>
    <r>
      <rPr>
        <sz val="11"/>
        <color rgb="FF00B050"/>
        <rFont val="游ゴシック"/>
        <family val="2"/>
        <scheme val="minor"/>
      </rPr>
      <t>batch</t>
    </r>
    <phoneticPr fontId="43" type="noConversion"/>
  </si>
  <si>
    <r>
      <rPr>
        <sz val="11"/>
        <color rgb="FF00B050"/>
        <rFont val="游ゴシック"/>
        <family val="3"/>
        <charset val="129"/>
        <scheme val="minor"/>
      </rPr>
      <t>자바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업로드</t>
    </r>
    <r>
      <rPr>
        <sz val="11"/>
        <color rgb="FF00B050"/>
        <rFont val="游ゴシック"/>
        <family val="2"/>
        <scheme val="minor"/>
      </rPr>
      <t xml:space="preserve"> (</t>
    </r>
    <r>
      <rPr>
        <sz val="11"/>
        <color rgb="FF00B050"/>
        <rFont val="游ゴシック"/>
        <family val="3"/>
        <charset val="129"/>
        <scheme val="minor"/>
      </rPr>
      <t>템플릿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다운</t>
    </r>
    <r>
      <rPr>
        <sz val="11"/>
        <color rgb="FF00B050"/>
        <rFont val="游ゴシック"/>
        <family val="2"/>
        <scheme val="minor"/>
      </rPr>
      <t xml:space="preserve"> -&gt; </t>
    </r>
    <r>
      <rPr>
        <sz val="11"/>
        <color rgb="FF00B050"/>
        <rFont val="游ゴシック"/>
        <family val="3"/>
        <charset val="129"/>
        <scheme val="minor"/>
      </rPr>
      <t>뷰</t>
    </r>
    <r>
      <rPr>
        <sz val="11"/>
        <color rgb="FF00B050"/>
        <rFont val="游ゴシック"/>
        <family val="2"/>
        <scheme val="minor"/>
      </rPr>
      <t xml:space="preserve"> -&gt; </t>
    </r>
    <r>
      <rPr>
        <sz val="11"/>
        <color rgb="FF00B050"/>
        <rFont val="游ゴシック"/>
        <family val="3"/>
        <charset val="129"/>
        <scheme val="minor"/>
      </rPr>
      <t>모델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작성</t>
    </r>
    <r>
      <rPr>
        <sz val="11"/>
        <color rgb="FF00B050"/>
        <rFont val="游ゴシック"/>
        <family val="2"/>
        <scheme val="minor"/>
      </rPr>
      <t xml:space="preserve"> </t>
    </r>
    <r>
      <rPr>
        <sz val="11"/>
        <color rgb="FF00B050"/>
        <rFont val="游ゴシック"/>
        <family val="3"/>
        <charset val="129"/>
        <scheme val="minor"/>
      </rPr>
      <t>전체</t>
    </r>
    <r>
      <rPr>
        <sz val="11"/>
        <color rgb="FF00B050"/>
        <rFont val="游ゴシック"/>
        <family val="2"/>
        <scheme val="minor"/>
      </rPr>
      <t>)</t>
    </r>
    <phoneticPr fontId="43" type="noConversion"/>
  </si>
  <si>
    <t>집약관</t>
    <phoneticPr fontId="4"/>
  </si>
  <si>
    <r>
      <rPr>
        <sz val="11"/>
        <color theme="1"/>
        <rFont val="맑은 고딕"/>
        <family val="2"/>
        <charset val="129"/>
      </rPr>
      <t>가스회사</t>
    </r>
    <r>
      <rPr>
        <sz val="11"/>
        <color theme="1"/>
        <rFont val="Calibri"/>
        <family val="2"/>
      </rPr>
      <t xml:space="preserve"> 03-3363-0055 / </t>
    </r>
    <r>
      <rPr>
        <sz val="11"/>
        <color theme="1"/>
        <rFont val="맑은 고딕"/>
        <family val="2"/>
        <charset val="129"/>
      </rPr>
      <t>수도회사</t>
    </r>
    <r>
      <rPr>
        <sz val="11"/>
        <color theme="1"/>
        <rFont val="Calibri"/>
        <family val="2"/>
      </rPr>
      <t xml:space="preserve"> 03-5326-1100 / </t>
    </r>
    <r>
      <rPr>
        <sz val="11"/>
        <color theme="1"/>
        <rFont val="맑은 고딕"/>
        <family val="2"/>
        <charset val="129"/>
      </rPr>
      <t>대형쓰레기</t>
    </r>
    <r>
      <rPr>
        <sz val="11"/>
        <color theme="1"/>
        <rFont val="Calibri"/>
        <family val="2"/>
      </rPr>
      <t>(</t>
    </r>
    <r>
      <rPr>
        <sz val="11"/>
        <color theme="1"/>
        <rFont val="맑은 고딕"/>
        <family val="2"/>
        <charset val="129"/>
      </rPr>
      <t>나가기</t>
    </r>
    <r>
      <rPr>
        <sz val="11"/>
        <color theme="1"/>
        <rFont val="Calibri"/>
        <family val="2"/>
      </rPr>
      <t xml:space="preserve"> 1</t>
    </r>
    <r>
      <rPr>
        <sz val="11"/>
        <color theme="1"/>
        <rFont val="맑은 고딕"/>
        <family val="2"/>
        <charset val="129"/>
      </rPr>
      <t>개월전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말하기</t>
    </r>
    <r>
      <rPr>
        <sz val="11"/>
        <color theme="1"/>
        <rFont val="Calibri"/>
        <family val="2"/>
      </rPr>
      <t>) 03-5296-7000 / 24</t>
    </r>
    <r>
      <rPr>
        <sz val="11"/>
        <color theme="1"/>
        <rFont val="맑은 고딕"/>
        <family val="2"/>
        <charset val="129"/>
      </rPr>
      <t>시간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써폿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내용</t>
    </r>
    <r>
      <rPr>
        <sz val="11"/>
        <color theme="1"/>
        <rFont val="Calibri"/>
        <family val="2"/>
      </rPr>
      <t xml:space="preserve"> 0120-410-554(24</t>
    </r>
    <r>
      <rPr>
        <sz val="11"/>
        <color theme="1"/>
        <rFont val="맑은 고딕"/>
        <family val="2"/>
        <charset val="129"/>
      </rPr>
      <t>시간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대응</t>
    </r>
    <r>
      <rPr>
        <sz val="11"/>
        <color theme="1"/>
        <rFont val="Calibri"/>
        <family val="2"/>
      </rPr>
      <t>), 092-532-4010(</t>
    </r>
    <r>
      <rPr>
        <sz val="11"/>
        <color theme="1"/>
        <rFont val="맑은 고딕"/>
        <family val="2"/>
        <charset val="129"/>
      </rPr>
      <t>그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외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문의</t>
    </r>
    <r>
      <rPr>
        <sz val="11"/>
        <color theme="1"/>
        <rFont val="Calibri"/>
        <family val="2"/>
      </rPr>
      <t xml:space="preserve">) : </t>
    </r>
    <r>
      <rPr>
        <sz val="11"/>
        <color theme="1"/>
        <rFont val="맑은 고딕"/>
        <family val="2"/>
        <charset val="129"/>
      </rPr>
      <t>열쇠</t>
    </r>
    <r>
      <rPr>
        <sz val="11"/>
        <color theme="1"/>
        <rFont val="Calibri"/>
        <family val="2"/>
      </rPr>
      <t xml:space="preserve">, </t>
    </r>
    <r>
      <rPr>
        <sz val="11"/>
        <color theme="1"/>
        <rFont val="맑은 고딕"/>
        <family val="2"/>
        <charset val="129"/>
      </rPr>
      <t>물이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안나온다던가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등등의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문제발생시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얘기하기</t>
    </r>
    <r>
      <rPr>
        <sz val="11"/>
        <color theme="1"/>
        <rFont val="Calibri"/>
        <family val="2"/>
      </rPr>
      <t xml:space="preserve"> (</t>
    </r>
    <r>
      <rPr>
        <sz val="11"/>
        <color theme="1"/>
        <rFont val="맑은 고딕"/>
        <family val="2"/>
        <charset val="129"/>
      </rPr>
      <t>돈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안듦</t>
    </r>
    <r>
      <rPr>
        <sz val="11"/>
        <color theme="1"/>
        <rFont val="Calibri"/>
        <family val="2"/>
      </rPr>
      <t xml:space="preserve">!) / </t>
    </r>
    <r>
      <rPr>
        <sz val="11"/>
        <color theme="1"/>
        <rFont val="맑은 고딕"/>
        <family val="2"/>
        <charset val="129"/>
      </rPr>
      <t>에포스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룸가드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화재보험회사</t>
    </r>
    <r>
      <rPr>
        <sz val="11"/>
        <color theme="1"/>
        <rFont val="Calibri"/>
        <family val="2"/>
      </rPr>
      <t>(Casa) 24</t>
    </r>
    <r>
      <rPr>
        <sz val="11"/>
        <color theme="1"/>
        <rFont val="맑은 고딕"/>
        <family val="2"/>
        <charset val="129"/>
      </rPr>
      <t>시간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써폿에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먼저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전화하면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됨</t>
    </r>
    <r>
      <rPr>
        <sz val="11"/>
        <color theme="1"/>
        <rFont val="Calibri"/>
        <family val="2"/>
      </rPr>
      <t>(</t>
    </r>
    <r>
      <rPr>
        <sz val="11"/>
        <color theme="1"/>
        <rFont val="맑은 고딕"/>
        <family val="2"/>
        <charset val="129"/>
      </rPr>
      <t>보험보증관리회사는</t>
    </r>
    <r>
      <rPr>
        <sz val="11"/>
        <color theme="1"/>
        <rFont val="Calibri"/>
        <family val="2"/>
      </rPr>
      <t xml:space="preserve"> 03-3366-4610 </t>
    </r>
    <r>
      <rPr>
        <sz val="11"/>
        <color theme="1"/>
        <rFont val="맑은 고딕"/>
        <family val="2"/>
        <charset val="129"/>
      </rPr>
      <t>미츠보</t>
    </r>
    <r>
      <rPr>
        <sz val="11"/>
        <color theme="1"/>
        <rFont val="Calibri"/>
        <family val="2"/>
      </rPr>
      <t xml:space="preserve">) : </t>
    </r>
    <r>
      <rPr>
        <sz val="11"/>
        <color theme="1"/>
        <rFont val="맑은 고딕"/>
        <family val="2"/>
        <charset val="129"/>
      </rPr>
      <t>대야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부서지거나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창문</t>
    </r>
    <r>
      <rPr>
        <sz val="11"/>
        <color theme="1"/>
        <rFont val="Calibri"/>
        <family val="2"/>
      </rPr>
      <t xml:space="preserve">, </t>
    </r>
    <r>
      <rPr>
        <sz val="11"/>
        <color theme="1"/>
        <rFont val="맑은 고딕"/>
        <family val="2"/>
        <charset val="129"/>
      </rPr>
      <t>수도관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파열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등등일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때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전화하면</t>
    </r>
    <r>
      <rPr>
        <sz val="11"/>
        <color theme="1"/>
        <rFont val="Calibri"/>
        <family val="2"/>
      </rPr>
      <t xml:space="preserve"> 50%</t>
    </r>
    <r>
      <rPr>
        <sz val="11"/>
        <color theme="1"/>
        <rFont val="맑은 고딕"/>
        <family val="2"/>
        <charset val="129"/>
      </rPr>
      <t>만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내가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지불하고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나머지는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얘네가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지불</t>
    </r>
    <r>
      <rPr>
        <sz val="11"/>
        <color theme="1"/>
        <rFont val="Calibri"/>
        <family val="2"/>
      </rPr>
      <t xml:space="preserve"> / </t>
    </r>
    <r>
      <rPr>
        <sz val="11"/>
        <color theme="1"/>
        <rFont val="맑은 고딕"/>
        <family val="2"/>
        <charset val="129"/>
      </rPr>
      <t>센츄리</t>
    </r>
    <r>
      <rPr>
        <sz val="11"/>
        <color theme="1"/>
        <rFont val="Calibri"/>
        <family val="2"/>
      </rPr>
      <t>21</t>
    </r>
    <r>
      <rPr>
        <sz val="11"/>
        <color theme="1"/>
        <rFont val="맑은 고딕"/>
        <family val="2"/>
        <charset val="129"/>
      </rPr>
      <t>관리회사</t>
    </r>
    <r>
      <rPr>
        <sz val="11"/>
        <color theme="1"/>
        <rFont val="Calibri"/>
        <family val="2"/>
      </rPr>
      <t xml:space="preserve"> 03-3200-5806 (</t>
    </r>
    <r>
      <rPr>
        <sz val="11"/>
        <color theme="1"/>
        <rFont val="맑은 고딕"/>
        <family val="2"/>
        <charset val="129"/>
      </rPr>
      <t>위치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신주쿠구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햐쿠닌초</t>
    </r>
    <r>
      <rPr>
        <sz val="11"/>
        <color theme="1"/>
        <rFont val="Calibri"/>
        <family val="2"/>
      </rPr>
      <t xml:space="preserve"> 2-27-4 1</t>
    </r>
    <r>
      <rPr>
        <sz val="11"/>
        <color theme="1"/>
        <rFont val="맑은 고딕"/>
        <family val="2"/>
        <charset val="129"/>
      </rPr>
      <t>층</t>
    </r>
    <r>
      <rPr>
        <sz val="11"/>
        <color theme="1"/>
        <rFont val="Calibri"/>
        <family val="2"/>
      </rPr>
      <t xml:space="preserve">) : </t>
    </r>
    <r>
      <rPr>
        <sz val="11"/>
        <color theme="1"/>
        <rFont val="맑은 고딕"/>
        <family val="2"/>
        <charset val="129"/>
      </rPr>
      <t>전기연결관련문제시</t>
    </r>
    <r>
      <rPr>
        <sz val="11"/>
        <color theme="1"/>
        <rFont val="Calibri"/>
        <family val="2"/>
      </rPr>
      <t xml:space="preserve">, </t>
    </r>
    <r>
      <rPr>
        <sz val="11"/>
        <color theme="1"/>
        <rFont val="맑은 고딕"/>
        <family val="2"/>
        <charset val="129"/>
      </rPr>
      <t>기타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관리문제시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전화로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문의</t>
    </r>
    <r>
      <rPr>
        <sz val="11"/>
        <color theme="1"/>
        <rFont val="Calibri"/>
        <family val="2"/>
      </rPr>
      <t xml:space="preserve"> / </t>
    </r>
    <r>
      <rPr>
        <sz val="11"/>
        <color theme="1"/>
        <rFont val="맑은 고딕"/>
        <family val="2"/>
        <charset val="129"/>
      </rPr>
      <t>인터넷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비상전화</t>
    </r>
    <r>
      <rPr>
        <sz val="11"/>
        <color theme="1"/>
        <rFont val="Calibri"/>
        <family val="2"/>
      </rPr>
      <t xml:space="preserve"> : </t>
    </r>
    <r>
      <rPr>
        <sz val="11"/>
        <color theme="1"/>
        <rFont val="맑은 고딕"/>
        <family val="2"/>
        <charset val="129"/>
      </rPr>
      <t>소프트뱅크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히카리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고객서포트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센터</t>
    </r>
    <r>
      <rPr>
        <sz val="11"/>
        <color theme="1"/>
        <rFont val="Calibri"/>
        <family val="2"/>
      </rPr>
      <t xml:space="preserve"> 08001112009 </t>
    </r>
    <r>
      <rPr>
        <sz val="11"/>
        <color theme="1"/>
        <rFont val="맑은 고딕"/>
        <family val="2"/>
        <charset val="129"/>
      </rPr>
      <t>라이프뱅크</t>
    </r>
    <r>
      <rPr>
        <sz val="11"/>
        <color theme="1"/>
        <rFont val="Calibri"/>
        <family val="2"/>
      </rPr>
      <t>(</t>
    </r>
    <r>
      <rPr>
        <sz val="11"/>
        <color theme="1"/>
        <rFont val="맑은 고딕"/>
        <family val="2"/>
        <charset val="129"/>
      </rPr>
      <t>본사</t>
    </r>
    <r>
      <rPr>
        <sz val="11"/>
        <color theme="1"/>
        <rFont val="Calibri"/>
        <family val="2"/>
      </rPr>
      <t xml:space="preserve">) 0120 362 713 </t>
    </r>
    <r>
      <rPr>
        <sz val="11"/>
        <color theme="1"/>
        <rFont val="맑은 고딕"/>
        <family val="2"/>
        <charset val="129"/>
      </rPr>
      <t>담당자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charset val="129"/>
      </rPr>
      <t>혼보상 / 대형쓰레기 사전예약 : 30cm 이상의 대형쓰레기는 http://sodai.tokyokankyo.or.jp 로 신청해야함(유료), 가정용 에어컨 등 리사이클 접수센터(kaden23rc.tokyokankyo.or.jp) / 동경신주쿠교회 東京都 新宿</t>
    </r>
    <r>
      <rPr>
        <sz val="11"/>
        <color theme="1"/>
        <rFont val="MS UI Gothic"/>
        <family val="2"/>
        <charset val="134"/>
      </rPr>
      <t>区</t>
    </r>
    <r>
      <rPr>
        <sz val="11"/>
        <color theme="1"/>
        <rFont val="맑은 고딕"/>
        <family val="2"/>
        <charset val="129"/>
      </rPr>
      <t xml:space="preserve"> 大久保1-3-3 セイントマンション7階</t>
    </r>
    <phoneticPr fontId="4"/>
  </si>
  <si>
    <t>한국갈때p</t>
    <phoneticPr fontId="4"/>
  </si>
  <si>
    <r>
      <rPr>
        <sz val="11"/>
        <color theme="1"/>
        <rFont val="游ゴシック"/>
        <scheme val="minor"/>
      </rPr>
      <t>엑셀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scheme val="minor"/>
      </rPr>
      <t>플래너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scheme val="minor"/>
      </rPr>
      <t>업데이트</t>
    </r>
    <r>
      <rPr>
        <sz val="11"/>
        <color theme="1"/>
        <rFont val="游ゴシック"/>
        <family val="2"/>
        <scheme val="minor"/>
      </rPr>
      <t xml:space="preserve">, </t>
    </r>
    <r>
      <rPr>
        <sz val="11"/>
        <color theme="1"/>
        <rFont val="游ゴシック"/>
        <scheme val="minor"/>
      </rPr>
      <t>일정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scheme val="minor"/>
      </rPr>
      <t>옮기기</t>
    </r>
  </si>
  <si>
    <r>
      <rPr>
        <sz val="11"/>
        <color theme="1"/>
        <rFont val="游ゴシック"/>
        <family val="2"/>
        <charset val="129"/>
        <scheme val="minor"/>
      </rPr>
      <t>라면사기</t>
    </r>
  </si>
  <si>
    <t>마이만나기</t>
  </si>
  <si>
    <r>
      <t>★ [</t>
    </r>
    <r>
      <rPr>
        <b/>
        <sz val="11"/>
        <color rgb="FFFF0000"/>
        <rFont val="游ゴシック"/>
        <family val="3"/>
        <charset val="129"/>
        <scheme val="minor"/>
      </rPr>
      <t>불확실</t>
    </r>
    <r>
      <rPr>
        <b/>
        <sz val="11"/>
        <color rgb="FFFF0000"/>
        <rFont val="游ゴシック"/>
        <family val="2"/>
        <scheme val="minor"/>
      </rPr>
      <t>] 6~9</t>
    </r>
    <r>
      <rPr>
        <b/>
        <sz val="11"/>
        <color rgb="FFFF0000"/>
        <rFont val="游ゴシック"/>
        <family val="3"/>
        <charset val="129"/>
        <scheme val="minor"/>
      </rPr>
      <t>일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사이노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이즈레카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오전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위버스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건강검진</t>
    </r>
    <r>
      <rPr>
        <b/>
        <sz val="11"/>
        <color rgb="FFFF0000"/>
        <rFont val="游ゴシック"/>
        <family val="2"/>
        <scheme val="minor"/>
      </rPr>
      <t xml:space="preserve"> (</t>
    </r>
    <r>
      <rPr>
        <b/>
        <sz val="11"/>
        <color rgb="FFFF0000"/>
        <rFont val="游ゴシック"/>
        <family val="3"/>
        <charset val="129"/>
        <scheme val="minor"/>
      </rPr>
      <t>신주쿠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사쿠라주지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클리닉</t>
    </r>
    <r>
      <rPr>
        <b/>
        <sz val="11"/>
        <color rgb="FFFF0000"/>
        <rFont val="游ゴシック"/>
        <family val="2"/>
        <scheme val="minor"/>
      </rPr>
      <t>-</t>
    </r>
    <r>
      <rPr>
        <b/>
        <sz val="11"/>
        <color rgb="FFFF0000"/>
        <rFont val="游ゴシック"/>
        <family val="3"/>
        <charset val="129"/>
        <scheme val="minor"/>
      </rPr>
      <t>카톡에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주소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있음</t>
    </r>
    <r>
      <rPr>
        <b/>
        <sz val="11"/>
        <color rgb="FFFF0000"/>
        <rFont val="游ゴシック"/>
        <family val="2"/>
        <scheme val="minor"/>
      </rPr>
      <t xml:space="preserve">) : </t>
    </r>
    <r>
      <rPr>
        <b/>
        <sz val="11"/>
        <color rgb="FFFF0000"/>
        <rFont val="游ゴシック"/>
        <family val="3"/>
        <charset val="129"/>
        <scheme val="minor"/>
      </rPr>
      <t>신체측정</t>
    </r>
    <r>
      <rPr>
        <b/>
        <sz val="11"/>
        <color rgb="FFFF0000"/>
        <rFont val="游ゴシック"/>
        <family val="2"/>
        <scheme val="minor"/>
      </rPr>
      <t xml:space="preserve">, BMI, </t>
    </r>
    <r>
      <rPr>
        <b/>
        <sz val="11"/>
        <color rgb="FFFF0000"/>
        <rFont val="游ゴシック"/>
        <family val="3"/>
        <charset val="129"/>
        <scheme val="minor"/>
      </rPr>
      <t>시력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청력</t>
    </r>
    <r>
      <rPr>
        <b/>
        <sz val="11"/>
        <color rgb="FFFF0000"/>
        <rFont val="游ゴシック"/>
        <family val="2"/>
        <scheme val="minor"/>
      </rPr>
      <t xml:space="preserve">, </t>
    </r>
    <r>
      <rPr>
        <b/>
        <sz val="11"/>
        <color rgb="FFFF0000"/>
        <rFont val="游ゴシック"/>
        <family val="3"/>
        <charset val="129"/>
        <scheme val="minor"/>
      </rPr>
      <t>혈압</t>
    </r>
    <r>
      <rPr>
        <b/>
        <sz val="11"/>
        <color rgb="FFFF0000"/>
        <rFont val="游ゴシック"/>
        <family val="2"/>
        <scheme val="minor"/>
      </rPr>
      <t xml:space="preserve">, </t>
    </r>
    <r>
      <rPr>
        <b/>
        <sz val="11"/>
        <color rgb="FFFF0000"/>
        <rFont val="游ゴシック"/>
        <family val="3"/>
        <charset val="129"/>
        <scheme val="minor"/>
      </rPr>
      <t>당뇨</t>
    </r>
    <r>
      <rPr>
        <b/>
        <sz val="11"/>
        <color rgb="FFFF0000"/>
        <rFont val="游ゴシック"/>
        <family val="2"/>
        <scheme val="minor"/>
      </rPr>
      <t xml:space="preserve">, </t>
    </r>
    <r>
      <rPr>
        <b/>
        <sz val="11"/>
        <color rgb="FFFF0000"/>
        <rFont val="游ゴシック"/>
        <family val="3"/>
        <charset val="129"/>
        <scheme val="minor"/>
      </rPr>
      <t>고지혈</t>
    </r>
    <r>
      <rPr>
        <b/>
        <sz val="11"/>
        <color rgb="FFFF0000"/>
        <rFont val="游ゴシック"/>
        <family val="2"/>
        <scheme val="minor"/>
      </rPr>
      <t xml:space="preserve">, </t>
    </r>
    <r>
      <rPr>
        <b/>
        <sz val="11"/>
        <color rgb="FFFF0000"/>
        <rFont val="游ゴシック"/>
        <family val="3"/>
        <charset val="129"/>
        <scheme val="minor"/>
      </rPr>
      <t>엑스레이</t>
    </r>
    <phoneticPr fontId="43" type="noConversion"/>
  </si>
  <si>
    <t>C+S+V: Blue 遊び</t>
    <rPh sb="12" eb="13">
      <t>あそ</t>
    </rPh>
    <phoneticPr fontId="43" type="noConversion"/>
  </si>
  <si>
    <t>C+S+B: Black 普通</t>
    <rPh sb="13" eb="15">
      <t>ふつう</t>
    </rPh>
    <phoneticPr fontId="43" type="noConversion"/>
  </si>
  <si>
    <r>
      <t xml:space="preserve">C+S+G: Green </t>
    </r>
    <r>
      <rPr>
        <sz val="11"/>
        <color theme="1"/>
        <rFont val="MS UI Gothic"/>
        <family val="3"/>
        <charset val="129"/>
      </rPr>
      <t>勉強</t>
    </r>
    <rPh sb="13" eb="15">
      <t>べんきょう</t>
    </rPh>
    <phoneticPr fontId="43" type="noConversion"/>
  </si>
  <si>
    <t>C+S+Y: Yellow 授業</t>
    <rPh sb="14" eb="16">
      <t>じゅぎょう</t>
    </rPh>
    <phoneticPr fontId="43" type="noConversion"/>
  </si>
  <si>
    <t>C+S+R: Red 必須</t>
    <rPh sb="11" eb="13">
      <t>ひっすう</t>
    </rPh>
    <phoneticPr fontId="43" type="noConversion"/>
  </si>
  <si>
    <t>C+S+W: White 完了</t>
    <rPh sb="13" eb="15">
      <t>かんりょう</t>
    </rPh>
    <phoneticPr fontId="43" type="noConversion"/>
  </si>
  <si>
    <r>
      <rPr>
        <b/>
        <sz val="11"/>
        <color theme="0"/>
        <rFont val="游ゴシック"/>
        <family val="3"/>
        <charset val="129"/>
        <scheme val="minor"/>
      </rPr>
      <t>엑셀</t>
    </r>
    <r>
      <rPr>
        <b/>
        <sz val="11"/>
        <color theme="0"/>
        <rFont val="游ゴシック"/>
        <family val="2"/>
        <scheme val="minor"/>
      </rPr>
      <t xml:space="preserve"> </t>
    </r>
    <r>
      <rPr>
        <b/>
        <sz val="11"/>
        <color theme="0"/>
        <rFont val="游ゴシック"/>
        <family val="3"/>
        <charset val="129"/>
        <scheme val="minor"/>
      </rPr>
      <t>플래너</t>
    </r>
    <r>
      <rPr>
        <b/>
        <sz val="11"/>
        <color theme="0"/>
        <rFont val="游ゴシック"/>
        <family val="2"/>
        <scheme val="minor"/>
      </rPr>
      <t xml:space="preserve"> </t>
    </r>
    <r>
      <rPr>
        <b/>
        <sz val="11"/>
        <color theme="0"/>
        <rFont val="游ゴシック"/>
        <family val="3"/>
        <charset val="129"/>
        <scheme val="minor"/>
      </rPr>
      <t>업데이트</t>
    </r>
    <r>
      <rPr>
        <b/>
        <sz val="11"/>
        <color theme="0"/>
        <rFont val="游ゴシック"/>
        <family val="2"/>
        <scheme val="minor"/>
      </rPr>
      <t xml:space="preserve">, </t>
    </r>
    <r>
      <rPr>
        <b/>
        <sz val="11"/>
        <color theme="0"/>
        <rFont val="游ゴシック"/>
        <family val="3"/>
        <charset val="129"/>
        <scheme val="minor"/>
      </rPr>
      <t>일정</t>
    </r>
    <r>
      <rPr>
        <b/>
        <sz val="11"/>
        <color theme="0"/>
        <rFont val="游ゴシック"/>
        <family val="2"/>
        <scheme val="minor"/>
      </rPr>
      <t xml:space="preserve"> </t>
    </r>
    <r>
      <rPr>
        <b/>
        <sz val="11"/>
        <color theme="0"/>
        <rFont val="游ゴシック"/>
        <family val="3"/>
        <charset val="129"/>
        <scheme val="minor"/>
      </rPr>
      <t>옮기기</t>
    </r>
    <phoneticPr fontId="43" type="noConversion"/>
  </si>
  <si>
    <r>
      <rPr>
        <b/>
        <sz val="11"/>
        <color theme="0"/>
        <rFont val="游ゴシック"/>
        <family val="3"/>
        <charset val="129"/>
        <scheme val="minor"/>
      </rPr>
      <t>라면사기</t>
    </r>
    <phoneticPr fontId="43" type="noConversion"/>
  </si>
  <si>
    <r>
      <t>10</t>
    </r>
    <r>
      <rPr>
        <sz val="11"/>
        <color theme="0"/>
        <rFont val="游ゴシック"/>
        <family val="2"/>
        <charset val="129"/>
        <scheme val="minor"/>
      </rPr>
      <t>월</t>
    </r>
    <r>
      <rPr>
        <sz val="11"/>
        <color theme="0"/>
        <rFont val="游ゴシック"/>
        <family val="2"/>
        <scheme val="minor"/>
      </rPr>
      <t xml:space="preserve"> </t>
    </r>
    <r>
      <rPr>
        <sz val="11"/>
        <color theme="0"/>
        <rFont val="游ゴシック"/>
        <family val="2"/>
        <charset val="129"/>
        <scheme val="minor"/>
      </rPr>
      <t>무수입</t>
    </r>
    <r>
      <rPr>
        <sz val="11"/>
        <color theme="0"/>
        <rFont val="游ゴシック"/>
        <family val="2"/>
        <scheme val="minor"/>
      </rPr>
      <t xml:space="preserve"> </t>
    </r>
    <r>
      <rPr>
        <sz val="11"/>
        <color theme="0"/>
        <rFont val="游ゴシック"/>
        <family val="2"/>
        <charset val="129"/>
        <scheme val="minor"/>
      </rPr>
      <t>급부금</t>
    </r>
    <r>
      <rPr>
        <sz val="11"/>
        <color theme="0"/>
        <rFont val="游ゴシック"/>
        <family val="2"/>
        <scheme val="minor"/>
      </rPr>
      <t xml:space="preserve"> </t>
    </r>
    <r>
      <rPr>
        <sz val="11"/>
        <color theme="0"/>
        <rFont val="游ゴシック"/>
        <family val="2"/>
        <charset val="129"/>
        <scheme val="minor"/>
      </rPr>
      <t>신청</t>
    </r>
    <r>
      <rPr>
        <sz val="11"/>
        <color theme="0"/>
        <rFont val="游ゴシック"/>
        <family val="2"/>
        <scheme val="minor"/>
      </rPr>
      <t xml:space="preserve"> </t>
    </r>
    <r>
      <rPr>
        <sz val="11"/>
        <color theme="0"/>
        <rFont val="游ゴシック"/>
        <family val="2"/>
        <charset val="129"/>
        <scheme val="minor"/>
      </rPr>
      <t>준비</t>
    </r>
    <r>
      <rPr>
        <sz val="11"/>
        <color theme="0"/>
        <rFont val="游ゴシック"/>
        <family val="2"/>
        <scheme val="minor"/>
      </rPr>
      <t>(</t>
    </r>
    <r>
      <rPr>
        <sz val="11"/>
        <color theme="0"/>
        <rFont val="游ゴシック"/>
        <family val="2"/>
        <charset val="129"/>
        <scheme val="minor"/>
      </rPr>
      <t>샤프로</t>
    </r>
    <r>
      <rPr>
        <sz val="11"/>
        <color theme="0"/>
        <rFont val="游ゴシック"/>
        <family val="2"/>
        <scheme val="minor"/>
      </rPr>
      <t xml:space="preserve"> </t>
    </r>
    <r>
      <rPr>
        <sz val="11"/>
        <color theme="0"/>
        <rFont val="游ゴシック"/>
        <family val="2"/>
        <charset val="129"/>
        <scheme val="minor"/>
      </rPr>
      <t>아는</t>
    </r>
    <r>
      <rPr>
        <sz val="11"/>
        <color theme="0"/>
        <rFont val="游ゴシック"/>
        <family val="2"/>
        <scheme val="minor"/>
      </rPr>
      <t xml:space="preserve"> </t>
    </r>
    <r>
      <rPr>
        <sz val="11"/>
        <color theme="0"/>
        <rFont val="游ゴシック"/>
        <family val="2"/>
        <charset val="129"/>
        <scheme val="minor"/>
      </rPr>
      <t>부분만</t>
    </r>
    <r>
      <rPr>
        <sz val="11"/>
        <color theme="0"/>
        <rFont val="游ゴシック"/>
        <family val="2"/>
        <scheme val="minor"/>
      </rPr>
      <t xml:space="preserve"> </t>
    </r>
    <r>
      <rPr>
        <sz val="11"/>
        <color theme="0"/>
        <rFont val="游ゴシック"/>
        <family val="2"/>
        <charset val="129"/>
        <scheme val="minor"/>
      </rPr>
      <t>미리</t>
    </r>
    <r>
      <rPr>
        <sz val="11"/>
        <color theme="0"/>
        <rFont val="游ゴシック"/>
        <family val="2"/>
        <scheme val="minor"/>
      </rPr>
      <t xml:space="preserve"> </t>
    </r>
    <r>
      <rPr>
        <sz val="11"/>
        <color theme="0"/>
        <rFont val="游ゴシック"/>
        <family val="2"/>
        <charset val="129"/>
        <scheme val="minor"/>
      </rPr>
      <t>써두기</t>
    </r>
    <r>
      <rPr>
        <sz val="11"/>
        <color theme="0"/>
        <rFont val="游ゴシック"/>
        <family val="2"/>
        <scheme val="minor"/>
      </rPr>
      <t>)</t>
    </r>
    <phoneticPr fontId="43" type="noConversion"/>
  </si>
  <si>
    <r>
      <rPr>
        <sz val="11"/>
        <color theme="0"/>
        <rFont val="游ゴシック"/>
        <family val="3"/>
        <charset val="129"/>
        <scheme val="minor"/>
      </rPr>
      <t>집</t>
    </r>
    <r>
      <rPr>
        <sz val="11"/>
        <color theme="0"/>
        <rFont val="游ゴシック"/>
        <family val="2"/>
        <scheme val="minor"/>
      </rPr>
      <t xml:space="preserve"> </t>
    </r>
    <r>
      <rPr>
        <sz val="11"/>
        <color theme="0"/>
        <rFont val="游ゴシック"/>
        <family val="3"/>
        <charset val="129"/>
        <scheme val="minor"/>
      </rPr>
      <t>청소</t>
    </r>
    <phoneticPr fontId="4"/>
  </si>
  <si>
    <r>
      <rPr>
        <sz val="11"/>
        <color theme="0"/>
        <rFont val="游ゴシック"/>
        <family val="2"/>
        <charset val="129"/>
        <scheme val="minor"/>
      </rPr>
      <t>마이만나기</t>
    </r>
    <phoneticPr fontId="43" type="noConversion"/>
  </si>
  <si>
    <r>
      <rPr>
        <b/>
        <sz val="11"/>
        <color theme="1"/>
        <rFont val="游ゴシック"/>
        <family val="3"/>
        <charset val="129"/>
        <scheme val="minor"/>
      </rPr>
      <t>내일</t>
    </r>
    <r>
      <rPr>
        <b/>
        <sz val="11"/>
        <color theme="1"/>
        <rFont val="游ゴシック"/>
        <family val="2"/>
        <scheme val="minor"/>
      </rPr>
      <t xml:space="preserve"> 10</t>
    </r>
    <r>
      <rPr>
        <b/>
        <sz val="11"/>
        <color theme="1"/>
        <rFont val="游ゴシック"/>
        <family val="3"/>
        <charset val="129"/>
        <scheme val="minor"/>
      </rPr>
      <t>시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신오쿠보역에서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어재선씨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만나서</t>
    </r>
    <r>
      <rPr>
        <b/>
        <sz val="11"/>
        <color theme="1"/>
        <rFont val="游ゴシック"/>
        <family val="2"/>
        <scheme val="minor"/>
      </rPr>
      <t xml:space="preserve"> 24</t>
    </r>
    <r>
      <rPr>
        <b/>
        <sz val="11"/>
        <color theme="1"/>
        <rFont val="游ゴシック"/>
        <family val="3"/>
        <charset val="129"/>
        <scheme val="minor"/>
      </rPr>
      <t>만엔으로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톰브라운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플립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세트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구매</t>
    </r>
    <r>
      <rPr>
        <b/>
        <sz val="11"/>
        <color theme="1"/>
        <rFont val="游ゴシック"/>
        <family val="2"/>
        <scheme val="minor"/>
      </rPr>
      <t xml:space="preserve"> - </t>
    </r>
    <r>
      <rPr>
        <b/>
        <sz val="11"/>
        <color theme="1"/>
        <rFont val="游ゴシック"/>
        <family val="3"/>
        <charset val="129"/>
        <scheme val="minor"/>
      </rPr>
      <t>맥도날에서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상태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확인</t>
    </r>
    <phoneticPr fontId="43" type="noConversion"/>
  </si>
  <si>
    <r>
      <rPr>
        <sz val="11"/>
        <color rgb="FF0000FF"/>
        <rFont val="游ゴシック"/>
        <family val="2"/>
        <charset val="129"/>
        <scheme val="minor"/>
      </rPr>
      <t>키와</t>
    </r>
    <r>
      <rPr>
        <sz val="11"/>
        <color rgb="FF0000FF"/>
        <rFont val="游ゴシック"/>
        <family val="2"/>
        <scheme val="minor"/>
      </rPr>
      <t xml:space="preserve"> </t>
    </r>
    <r>
      <rPr>
        <sz val="11"/>
        <color rgb="FF0000FF"/>
        <rFont val="游ゴシック"/>
        <family val="2"/>
        <charset val="129"/>
        <scheme val="minor"/>
      </rPr>
      <t>함께</t>
    </r>
    <r>
      <rPr>
        <sz val="11"/>
        <color rgb="FF0000FF"/>
        <rFont val="游ゴシック"/>
        <family val="2"/>
        <scheme val="minor"/>
      </rPr>
      <t xml:space="preserve"> </t>
    </r>
    <phoneticPr fontId="43" type="noConversion"/>
  </si>
  <si>
    <r>
      <rPr>
        <b/>
        <sz val="11"/>
        <color rgb="FFFFC000"/>
        <rFont val="游ゴシック"/>
        <family val="2"/>
        <charset val="129"/>
        <scheme val="minor"/>
      </rPr>
      <t>노트북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2"/>
        <charset val="129"/>
        <scheme val="minor"/>
      </rPr>
      <t>고치러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2"/>
        <charset val="129"/>
        <scheme val="minor"/>
      </rPr>
      <t>가기</t>
    </r>
    <r>
      <rPr>
        <b/>
        <sz val="11"/>
        <color rgb="FFFFC000"/>
        <rFont val="游ゴシック"/>
        <family val="2"/>
        <scheme val="minor"/>
      </rPr>
      <t xml:space="preserve"> - </t>
    </r>
    <r>
      <rPr>
        <b/>
        <sz val="11"/>
        <color rgb="FFFFC000"/>
        <rFont val="游ゴシック"/>
        <family val="2"/>
        <charset val="129"/>
        <scheme val="minor"/>
      </rPr>
      <t>못고치면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2"/>
        <charset val="129"/>
        <scheme val="minor"/>
      </rPr>
      <t>돈키서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2"/>
        <charset val="129"/>
        <scheme val="minor"/>
      </rPr>
      <t>키보드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2"/>
        <charset val="129"/>
        <scheme val="minor"/>
      </rPr>
      <t>걍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2"/>
        <charset val="129"/>
        <scheme val="minor"/>
      </rPr>
      <t>하나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2"/>
        <charset val="129"/>
        <scheme val="minor"/>
      </rPr>
      <t>사기</t>
    </r>
    <phoneticPr fontId="43" type="noConversion"/>
  </si>
  <si>
    <r>
      <rPr>
        <b/>
        <sz val="11"/>
        <color theme="1"/>
        <rFont val="游ゴシック"/>
        <family val="3"/>
        <charset val="129"/>
        <scheme val="minor"/>
      </rPr>
      <t>에이부루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2"/>
        <charset val="129"/>
        <scheme val="minor"/>
      </rPr>
      <t>급부금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2"/>
        <charset val="129"/>
        <scheme val="minor"/>
      </rPr>
      <t>신청서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2"/>
        <charset val="129"/>
        <scheme val="minor"/>
      </rPr>
      <t>왓나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2"/>
        <charset val="129"/>
        <scheme val="minor"/>
      </rPr>
      <t>확인</t>
    </r>
    <phoneticPr fontId="43" type="noConversion"/>
  </si>
  <si>
    <r>
      <rPr>
        <sz val="11"/>
        <color theme="1"/>
        <rFont val="游ゴシック"/>
        <family val="3"/>
        <charset val="129"/>
        <scheme val="minor"/>
      </rPr>
      <t>엄마한테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소화제</t>
    </r>
    <r>
      <rPr>
        <sz val="11"/>
        <color theme="1"/>
        <rFont val="游ゴシック"/>
        <family val="2"/>
        <scheme val="minor"/>
      </rPr>
      <t xml:space="preserve">, </t>
    </r>
    <r>
      <rPr>
        <sz val="11"/>
        <color theme="1"/>
        <rFont val="游ゴシック"/>
        <family val="3"/>
        <charset val="129"/>
        <scheme val="minor"/>
      </rPr>
      <t>알러지약</t>
    </r>
    <r>
      <rPr>
        <sz val="11"/>
        <color theme="1"/>
        <rFont val="游ゴシック"/>
        <family val="2"/>
        <scheme val="minor"/>
      </rPr>
      <t xml:space="preserve">, </t>
    </r>
    <r>
      <rPr>
        <sz val="11"/>
        <color theme="1"/>
        <rFont val="游ゴシック"/>
        <family val="3"/>
        <charset val="129"/>
        <scheme val="minor"/>
      </rPr>
      <t>무연고</t>
    </r>
    <r>
      <rPr>
        <sz val="11"/>
        <color theme="1"/>
        <rFont val="游ゴシック"/>
        <family val="2"/>
        <scheme val="minor"/>
      </rPr>
      <t xml:space="preserve">, </t>
    </r>
    <r>
      <rPr>
        <sz val="11"/>
        <color theme="1"/>
        <rFont val="游ゴシック"/>
        <family val="3"/>
        <charset val="129"/>
        <scheme val="minor"/>
      </rPr>
      <t>알연고</t>
    </r>
    <r>
      <rPr>
        <sz val="11"/>
        <color theme="1"/>
        <rFont val="游ゴシック"/>
        <family val="2"/>
        <scheme val="minor"/>
      </rPr>
      <t xml:space="preserve">, </t>
    </r>
    <r>
      <rPr>
        <sz val="11"/>
        <color theme="1"/>
        <rFont val="游ゴシック"/>
        <family val="3"/>
        <charset val="129"/>
        <scheme val="minor"/>
      </rPr>
      <t>부탁</t>
    </r>
    <phoneticPr fontId="4"/>
  </si>
  <si>
    <r>
      <rPr>
        <b/>
        <sz val="11"/>
        <color theme="1"/>
        <rFont val="游ゴシック"/>
        <family val="3"/>
        <charset val="129"/>
        <scheme val="minor"/>
      </rPr>
      <t>일반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밤</t>
    </r>
    <phoneticPr fontId="43" type="noConversion"/>
  </si>
  <si>
    <r>
      <rPr>
        <b/>
        <sz val="11"/>
        <color rgb="FFFF0000"/>
        <rFont val="游ゴシック"/>
        <family val="3"/>
        <charset val="129"/>
        <scheme val="minor"/>
      </rPr>
      <t>보일헤어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헤어예약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2"/>
        <charset val="129"/>
        <scheme val="minor"/>
      </rPr>
      <t>후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2"/>
        <charset val="129"/>
        <scheme val="minor"/>
      </rPr>
      <t>방문</t>
    </r>
    <phoneticPr fontId="43" type="noConversion"/>
  </si>
  <si>
    <r>
      <rPr>
        <b/>
        <sz val="11"/>
        <color rgb="FFFFC000"/>
        <rFont val="游ゴシック"/>
        <family val="3"/>
        <charset val="129"/>
        <scheme val="minor"/>
      </rPr>
      <t>박</t>
    </r>
    <r>
      <rPr>
        <b/>
        <sz val="11"/>
        <color rgb="FFFFC000"/>
        <rFont val="游ゴシック"/>
        <family val="2"/>
        <scheme val="minor"/>
      </rPr>
      <t>) 8</t>
    </r>
    <r>
      <rPr>
        <b/>
        <sz val="11"/>
        <color rgb="FFFFC000"/>
        <rFont val="游ゴシック"/>
        <family val="3"/>
        <charset val="129"/>
        <scheme val="minor"/>
      </rPr>
      <t>시</t>
    </r>
    <r>
      <rPr>
        <b/>
        <sz val="11"/>
        <color rgb="FFFFC000"/>
        <rFont val="游ゴシック"/>
        <family val="2"/>
        <scheme val="minor"/>
      </rPr>
      <t>~10</t>
    </r>
    <r>
      <rPr>
        <b/>
        <sz val="11"/>
        <color rgb="FFFFC000"/>
        <rFont val="游ゴシック"/>
        <family val="3"/>
        <charset val="129"/>
        <scheme val="minor"/>
      </rPr>
      <t>시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박시형씨</t>
    </r>
    <r>
      <rPr>
        <b/>
        <sz val="11"/>
        <color rgb="FFFFC000"/>
        <rFont val="游ゴシック"/>
        <family val="2"/>
        <scheme val="minor"/>
      </rPr>
      <t xml:space="preserve"> (</t>
    </r>
    <r>
      <rPr>
        <b/>
        <sz val="11"/>
        <color rgb="FFFFC000"/>
        <rFont val="游ゴシック"/>
        <family val="3"/>
        <charset val="129"/>
        <scheme val="minor"/>
      </rPr>
      <t>천일문심화편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독해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이해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속도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센스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문법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훈련</t>
    </r>
    <r>
      <rPr>
        <b/>
        <sz val="11"/>
        <color rgb="FFFFC000"/>
        <rFont val="游ゴシック"/>
        <family val="2"/>
        <scheme val="minor"/>
      </rPr>
      <t xml:space="preserve">) 4/4 </t>
    </r>
    <phoneticPr fontId="43" type="noConversion"/>
  </si>
  <si>
    <r>
      <rPr>
        <b/>
        <sz val="11"/>
        <color rgb="FFFF0000"/>
        <rFont val="游ゴシック"/>
        <family val="3"/>
        <charset val="129"/>
        <scheme val="minor"/>
      </rPr>
      <t>서류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준비</t>
    </r>
    <r>
      <rPr>
        <b/>
        <sz val="11"/>
        <color rgb="FFFF0000"/>
        <rFont val="游ゴシック"/>
        <family val="2"/>
        <scheme val="minor"/>
      </rPr>
      <t xml:space="preserve"> -&gt; </t>
    </r>
    <r>
      <rPr>
        <b/>
        <sz val="11"/>
        <color rgb="FFFF0000"/>
        <rFont val="游ゴシック"/>
        <family val="3"/>
        <charset val="129"/>
        <scheme val="minor"/>
      </rPr>
      <t>구약소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방문</t>
    </r>
    <r>
      <rPr>
        <b/>
        <sz val="11"/>
        <color rgb="FFFF0000"/>
        <rFont val="游ゴシック"/>
        <family val="2"/>
        <scheme val="minor"/>
      </rPr>
      <t xml:space="preserve"> -&gt; </t>
    </r>
    <r>
      <rPr>
        <b/>
        <sz val="11"/>
        <color rgb="FFFF0000"/>
        <rFont val="游ゴシック"/>
        <family val="3"/>
        <charset val="129"/>
        <scheme val="minor"/>
      </rPr>
      <t>급부금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서류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다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맞는지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확인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및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접수예약</t>
    </r>
    <phoneticPr fontId="43" type="noConversion"/>
  </si>
  <si>
    <r>
      <rPr>
        <b/>
        <sz val="11"/>
        <color rgb="FFFFC000"/>
        <rFont val="游ゴシック"/>
        <family val="3"/>
        <charset val="129"/>
        <scheme val="minor"/>
      </rPr>
      <t>정진선</t>
    </r>
    <r>
      <rPr>
        <b/>
        <sz val="11"/>
        <color rgb="FFFFC000"/>
        <rFont val="游ゴシック"/>
        <family val="2"/>
        <scheme val="minor"/>
      </rPr>
      <t xml:space="preserve">) </t>
    </r>
    <r>
      <rPr>
        <b/>
        <sz val="11"/>
        <color rgb="FFFFC000"/>
        <rFont val="游ゴシック"/>
        <family val="3"/>
        <charset val="129"/>
        <scheme val="minor"/>
      </rPr>
      <t>오후</t>
    </r>
    <r>
      <rPr>
        <b/>
        <sz val="11"/>
        <color rgb="FFFFC000"/>
        <rFont val="游ゴシック"/>
        <family val="2"/>
        <scheme val="minor"/>
      </rPr>
      <t xml:space="preserve"> 7</t>
    </r>
    <r>
      <rPr>
        <b/>
        <sz val="11"/>
        <color rgb="FFFFC000"/>
        <rFont val="游ゴシック"/>
        <family val="3"/>
        <charset val="129"/>
        <scheme val="minor"/>
      </rPr>
      <t>시</t>
    </r>
    <r>
      <rPr>
        <b/>
        <sz val="11"/>
        <color rgb="FFFFC000"/>
        <rFont val="游ゴシック"/>
        <family val="2"/>
        <scheme val="minor"/>
      </rPr>
      <t xml:space="preserve"> 2</t>
    </r>
    <r>
      <rPr>
        <b/>
        <sz val="11"/>
        <color rgb="FFFFC000"/>
        <rFont val="游ゴシック"/>
        <family val="3"/>
        <charset val="129"/>
        <scheme val="minor"/>
      </rPr>
      <t>시간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자바기초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차근차근</t>
    </r>
    <r>
      <rPr>
        <b/>
        <sz val="11"/>
        <color rgb="FFFFC000"/>
        <rFont val="游ゴシック"/>
        <family val="2"/>
        <scheme val="minor"/>
      </rPr>
      <t xml:space="preserve"> (2/2) -&gt; </t>
    </r>
    <r>
      <rPr>
        <b/>
        <sz val="11"/>
        <color rgb="FFFFC000"/>
        <rFont val="游ゴシック"/>
        <family val="3"/>
        <charset val="129"/>
        <scheme val="minor"/>
      </rPr>
      <t>매주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월요일</t>
    </r>
    <r>
      <rPr>
        <b/>
        <sz val="11"/>
        <color rgb="FFFFC000"/>
        <rFont val="游ゴシック"/>
        <family val="2"/>
        <scheme val="minor"/>
      </rPr>
      <t xml:space="preserve"> 7</t>
    </r>
    <r>
      <rPr>
        <b/>
        <sz val="11"/>
        <color rgb="FFFFC000"/>
        <rFont val="游ゴシック"/>
        <family val="3"/>
        <charset val="129"/>
        <scheme val="minor"/>
      </rPr>
      <t>시부터로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시간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확정하기</t>
    </r>
    <r>
      <rPr>
        <b/>
        <sz val="11"/>
        <color rgb="FFFFC000"/>
        <rFont val="游ゴシック"/>
        <family val="2"/>
        <scheme val="minor"/>
      </rPr>
      <t xml:space="preserve"> (</t>
    </r>
    <r>
      <rPr>
        <b/>
        <sz val="11"/>
        <color rgb="FFFFC000"/>
        <rFont val="游ゴシック"/>
        <family val="3"/>
        <charset val="129"/>
        <scheme val="minor"/>
      </rPr>
      <t>금액가져와주세요</t>
    </r>
    <r>
      <rPr>
        <b/>
        <sz val="11"/>
        <color rgb="FFFFC000"/>
        <rFont val="游ゴシック"/>
        <family val="2"/>
        <scheme val="minor"/>
      </rPr>
      <t>)</t>
    </r>
    <phoneticPr fontId="43" type="noConversion"/>
  </si>
  <si>
    <r>
      <rPr>
        <b/>
        <sz val="11"/>
        <color rgb="FF0000FF"/>
        <rFont val="游ゴシック"/>
        <family val="2"/>
        <charset val="129"/>
        <scheme val="minor"/>
      </rPr>
      <t>마이</t>
    </r>
    <r>
      <rPr>
        <b/>
        <sz val="11"/>
        <color rgb="FF0000FF"/>
        <rFont val="游ゴシック"/>
        <family val="2"/>
        <scheme val="minor"/>
      </rPr>
      <t xml:space="preserve"> 1</t>
    </r>
    <r>
      <rPr>
        <b/>
        <sz val="11"/>
        <color rgb="FF0000FF"/>
        <rFont val="游ゴシック"/>
        <family val="2"/>
        <charset val="129"/>
        <scheme val="minor"/>
      </rPr>
      <t>시</t>
    </r>
    <r>
      <rPr>
        <b/>
        <sz val="11"/>
        <color rgb="FF0000FF"/>
        <rFont val="游ゴシック"/>
        <family val="2"/>
        <scheme val="minor"/>
      </rPr>
      <t>~10</t>
    </r>
    <r>
      <rPr>
        <b/>
        <sz val="11"/>
        <color rgb="FF0000FF"/>
        <rFont val="游ゴシック"/>
        <family val="2"/>
        <charset val="129"/>
        <scheme val="minor"/>
      </rPr>
      <t>시</t>
    </r>
    <phoneticPr fontId="43" type="noConversion"/>
  </si>
  <si>
    <r>
      <rPr>
        <b/>
        <sz val="11"/>
        <color theme="1"/>
        <rFont val="游ゴシック"/>
        <family val="3"/>
        <charset val="129"/>
        <scheme val="minor"/>
      </rPr>
      <t>면접연습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서류화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및</t>
    </r>
    <r>
      <rPr>
        <b/>
        <sz val="11"/>
        <color theme="1"/>
        <rFont val="游ゴシック"/>
        <family val="2"/>
        <scheme val="minor"/>
      </rPr>
      <t xml:space="preserve"> </t>
    </r>
    <r>
      <rPr>
        <b/>
        <sz val="11"/>
        <color theme="1"/>
        <rFont val="游ゴシック"/>
        <family val="3"/>
        <charset val="129"/>
        <scheme val="minor"/>
      </rPr>
      <t>연습준비</t>
    </r>
    <phoneticPr fontId="43" type="noConversion"/>
  </si>
  <si>
    <r>
      <rPr>
        <b/>
        <sz val="11"/>
        <color rgb="FFFF0000"/>
        <rFont val="游ゴシック"/>
        <family val="3"/>
        <charset val="129"/>
        <scheme val="minor"/>
      </rPr>
      <t>화면</t>
    </r>
    <r>
      <rPr>
        <b/>
        <sz val="11"/>
        <color rgb="FFFF0000"/>
        <rFont val="游ゴシック"/>
        <family val="2"/>
        <scheme val="minor"/>
      </rPr>
      <t xml:space="preserve">: </t>
    </r>
    <r>
      <rPr>
        <b/>
        <sz val="11"/>
        <color rgb="FFFF0000"/>
        <rFont val="游ゴシック"/>
        <family val="3"/>
        <charset val="129"/>
        <scheme val="minor"/>
      </rPr>
      <t>앵귤러</t>
    </r>
    <r>
      <rPr>
        <b/>
        <sz val="11"/>
        <color rgb="FFFF0000"/>
        <rFont val="游ゴシック"/>
        <family val="2"/>
        <scheme val="minor"/>
      </rPr>
      <t xml:space="preserve">, </t>
    </r>
    <r>
      <rPr>
        <b/>
        <sz val="11"/>
        <color rgb="FFFF0000"/>
        <rFont val="游ゴシック"/>
        <family val="3"/>
        <charset val="129"/>
        <scheme val="minor"/>
      </rPr>
      <t>리액트</t>
    </r>
    <r>
      <rPr>
        <b/>
        <sz val="11"/>
        <color rgb="FFFF0000"/>
        <rFont val="游ゴシック"/>
        <family val="2"/>
        <scheme val="minor"/>
      </rPr>
      <t xml:space="preserve">, </t>
    </r>
    <r>
      <rPr>
        <b/>
        <sz val="11"/>
        <color rgb="FFFF0000"/>
        <rFont val="游ゴシック"/>
        <family val="3"/>
        <charset val="129"/>
        <scheme val="minor"/>
      </rPr>
      <t>타입스크립트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계획</t>
    </r>
    <phoneticPr fontId="43" type="noConversion"/>
  </si>
  <si>
    <r>
      <t xml:space="preserve">★ </t>
    </r>
    <r>
      <rPr>
        <b/>
        <sz val="11"/>
        <color rgb="FFFF0000"/>
        <rFont val="游ゴシック"/>
        <family val="3"/>
        <charset val="129"/>
        <scheme val="minor"/>
      </rPr>
      <t>염색</t>
    </r>
    <r>
      <rPr>
        <b/>
        <sz val="11"/>
        <color rgb="FFFF0000"/>
        <rFont val="游ゴシック"/>
        <family val="2"/>
        <scheme val="minor"/>
      </rPr>
      <t xml:space="preserve"> ?</t>
    </r>
    <r>
      <rPr>
        <b/>
        <sz val="11"/>
        <color rgb="FFFF0000"/>
        <rFont val="游ゴシック"/>
        <family val="3"/>
        <charset val="129"/>
        <scheme val="minor"/>
      </rPr>
      <t>한테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부탁해서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진행</t>
    </r>
    <r>
      <rPr>
        <b/>
        <sz val="11"/>
        <color rgb="FFFF0000"/>
        <rFont val="游ゴシック"/>
        <family val="2"/>
        <scheme val="minor"/>
      </rPr>
      <t xml:space="preserve"> - </t>
    </r>
    <r>
      <rPr>
        <b/>
        <sz val="11"/>
        <color rgb="FFFF0000"/>
        <rFont val="游ゴシック"/>
        <family val="3"/>
        <charset val="129"/>
        <scheme val="minor"/>
      </rPr>
      <t>락스로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염색물든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욕조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청소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준비도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游ゴシック"/>
        <family val="3"/>
        <charset val="129"/>
        <scheme val="minor"/>
      </rPr>
      <t>해두기</t>
    </r>
    <phoneticPr fontId="43" type="noConversion"/>
  </si>
  <si>
    <r>
      <rPr>
        <sz val="11"/>
        <color theme="1"/>
        <rFont val="游ゴシック"/>
        <family val="2"/>
        <charset val="129"/>
        <scheme val="minor"/>
      </rPr>
      <t>마이</t>
    </r>
    <r>
      <rPr>
        <sz val="11"/>
        <color theme="1"/>
        <rFont val="游ゴシック"/>
        <family val="2"/>
        <scheme val="minor"/>
      </rPr>
      <t xml:space="preserve"> </t>
    </r>
    <r>
      <rPr>
        <sz val="11"/>
        <color theme="1"/>
        <rFont val="游ゴシック"/>
        <family val="2"/>
        <charset val="129"/>
        <scheme val="minor"/>
      </rPr>
      <t>휴일</t>
    </r>
    <phoneticPr fontId="43" type="noConversion"/>
  </si>
  <si>
    <r>
      <t>[</t>
    </r>
    <r>
      <rPr>
        <b/>
        <sz val="11"/>
        <color rgb="FFFFC000"/>
        <rFont val="游ゴシック"/>
        <family val="3"/>
        <charset val="129"/>
        <scheme val="minor"/>
      </rPr>
      <t>불확실</t>
    </r>
    <r>
      <rPr>
        <b/>
        <sz val="11"/>
        <color rgb="FFFFC000"/>
        <rFont val="游ゴシック"/>
        <family val="2"/>
        <scheme val="minor"/>
      </rPr>
      <t xml:space="preserve">] </t>
    </r>
    <r>
      <rPr>
        <b/>
        <sz val="11"/>
        <color rgb="FFFFC000"/>
        <rFont val="游ゴシック"/>
        <family val="3"/>
        <charset val="129"/>
        <scheme val="minor"/>
      </rPr>
      <t>사</t>
    </r>
    <r>
      <rPr>
        <b/>
        <sz val="11"/>
        <color rgb="FFFFC000"/>
        <rFont val="游ゴシック"/>
        <family val="2"/>
        <scheme val="minor"/>
      </rPr>
      <t xml:space="preserve">) </t>
    </r>
    <r>
      <rPr>
        <b/>
        <sz val="11"/>
        <color rgb="FFFFC000"/>
        <rFont val="游ゴシック"/>
        <family val="3"/>
        <charset val="129"/>
        <scheme val="minor"/>
      </rPr>
      <t>오후</t>
    </r>
    <r>
      <rPr>
        <b/>
        <sz val="11"/>
        <color rgb="FFFFC000"/>
        <rFont val="游ゴシック"/>
        <family val="2"/>
        <scheme val="minor"/>
      </rPr>
      <t xml:space="preserve"> 8</t>
    </r>
    <r>
      <rPr>
        <b/>
        <sz val="11"/>
        <color rgb="FFFFC000"/>
        <rFont val="游ゴシック"/>
        <family val="3"/>
        <charset val="129"/>
        <scheme val="minor"/>
      </rPr>
      <t>시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한국어</t>
    </r>
    <r>
      <rPr>
        <b/>
        <sz val="11"/>
        <color rgb="FFFFC000"/>
        <rFont val="游ゴシック"/>
        <family val="2"/>
        <scheme val="minor"/>
      </rPr>
      <t xml:space="preserve"> 1/2 (</t>
    </r>
    <r>
      <rPr>
        <b/>
        <sz val="11"/>
        <color rgb="FFFFC000"/>
        <rFont val="游ゴシック"/>
        <family val="3"/>
        <charset val="129"/>
        <scheme val="minor"/>
      </rPr>
      <t>수업료</t>
    </r>
    <r>
      <rPr>
        <b/>
        <sz val="11"/>
        <color rgb="FFFFC000"/>
        <rFont val="游ゴシック"/>
        <family val="2"/>
        <scheme val="minor"/>
      </rPr>
      <t xml:space="preserve"> 2</t>
    </r>
    <r>
      <rPr>
        <b/>
        <sz val="11"/>
        <color rgb="FFFFC000"/>
        <rFont val="游ゴシック"/>
        <family val="3"/>
        <charset val="129"/>
        <scheme val="minor"/>
      </rPr>
      <t>회분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받기</t>
    </r>
    <r>
      <rPr>
        <b/>
        <sz val="11"/>
        <color rgb="FFFFC000"/>
        <rFont val="游ゴシック"/>
        <family val="2"/>
        <scheme val="minor"/>
      </rPr>
      <t>)</t>
    </r>
    <phoneticPr fontId="43" type="noConversion"/>
  </si>
  <si>
    <r>
      <rPr>
        <b/>
        <sz val="11"/>
        <color rgb="FFFFC000"/>
        <rFont val="游ゴシック"/>
        <family val="3"/>
        <charset val="129"/>
        <scheme val="minor"/>
      </rPr>
      <t>사</t>
    </r>
    <r>
      <rPr>
        <b/>
        <sz val="11"/>
        <color rgb="FFFFC000"/>
        <rFont val="游ゴシック"/>
        <family val="2"/>
        <scheme val="minor"/>
      </rPr>
      <t xml:space="preserve">) </t>
    </r>
    <r>
      <rPr>
        <b/>
        <sz val="11"/>
        <color rgb="FFFFC000"/>
        <rFont val="游ゴシック"/>
        <family val="3"/>
        <charset val="129"/>
        <scheme val="minor"/>
      </rPr>
      <t>오후</t>
    </r>
    <r>
      <rPr>
        <b/>
        <sz val="11"/>
        <color rgb="FFFFC000"/>
        <rFont val="游ゴシック"/>
        <family val="2"/>
        <scheme val="minor"/>
      </rPr>
      <t xml:space="preserve"> 8</t>
    </r>
    <r>
      <rPr>
        <b/>
        <sz val="11"/>
        <color rgb="FFFFC000"/>
        <rFont val="游ゴシック"/>
        <family val="3"/>
        <charset val="129"/>
        <scheme val="minor"/>
      </rPr>
      <t>시</t>
    </r>
    <r>
      <rPr>
        <b/>
        <sz val="11"/>
        <color rgb="FFFFC000"/>
        <rFont val="游ゴシック"/>
        <family val="2"/>
        <scheme val="minor"/>
      </rPr>
      <t xml:space="preserve"> </t>
    </r>
    <r>
      <rPr>
        <b/>
        <sz val="11"/>
        <color rgb="FFFFC000"/>
        <rFont val="游ゴシック"/>
        <family val="3"/>
        <charset val="129"/>
        <scheme val="minor"/>
      </rPr>
      <t>한국어</t>
    </r>
    <r>
      <rPr>
        <b/>
        <sz val="11"/>
        <color rgb="FFFFC000"/>
        <rFont val="游ゴシック"/>
        <family val="2"/>
        <scheme val="minor"/>
      </rPr>
      <t xml:space="preserve"> 2/2</t>
    </r>
    <phoneticPr fontId="43" type="noConversion"/>
  </si>
  <si>
    <r>
      <rPr>
        <b/>
        <sz val="11"/>
        <color rgb="FFFF0000"/>
        <rFont val="Segoe UI Symbol"/>
        <family val="2"/>
      </rPr>
      <t>★</t>
    </r>
    <r>
      <rPr>
        <b/>
        <sz val="11"/>
        <color rgb="FFFF0000"/>
        <rFont val="游ゴシック"/>
        <family val="2"/>
        <scheme val="minor"/>
      </rPr>
      <t>smbc</t>
    </r>
    <r>
      <rPr>
        <b/>
        <sz val="11"/>
        <color rgb="FFFF0000"/>
        <rFont val="맑은 고딕"/>
        <family val="3"/>
        <charset val="129"/>
      </rPr>
      <t>에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맑은 고딕"/>
        <family val="3"/>
        <charset val="129"/>
      </rPr>
      <t>줌시스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맑은 고딕"/>
        <family val="3"/>
        <charset val="129"/>
      </rPr>
      <t>만든거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맑은 고딕"/>
        <family val="3"/>
        <charset val="129"/>
      </rPr>
      <t>아직</t>
    </r>
    <r>
      <rPr>
        <b/>
        <sz val="11"/>
        <color rgb="FFFF0000"/>
        <rFont val="游ゴシック"/>
        <family val="2"/>
        <scheme val="minor"/>
      </rPr>
      <t xml:space="preserve"> 2</t>
    </r>
    <r>
      <rPr>
        <b/>
        <sz val="11"/>
        <color rgb="FFFF0000"/>
        <rFont val="맑은 고딕"/>
        <family val="3"/>
        <charset val="129"/>
      </rPr>
      <t>만엔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맑은 고딕"/>
        <family val="3"/>
        <charset val="129"/>
      </rPr>
      <t>안들어왔으면</t>
    </r>
    <r>
      <rPr>
        <b/>
        <sz val="11"/>
        <color rgb="FFFF0000"/>
        <rFont val="游ゴシック"/>
        <family val="2"/>
        <scheme val="minor"/>
      </rPr>
      <t xml:space="preserve">, </t>
    </r>
    <r>
      <rPr>
        <b/>
        <sz val="11"/>
        <color rgb="FFFF0000"/>
        <rFont val="맑은 고딕"/>
        <family val="3"/>
        <charset val="129"/>
      </rPr>
      <t>현주씨한테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맑은 고딕"/>
        <family val="3"/>
        <charset val="129"/>
      </rPr>
      <t>물어보기</t>
    </r>
    <r>
      <rPr>
        <b/>
        <sz val="11"/>
        <color rgb="FFFF0000"/>
        <rFont val="游ゴシック"/>
        <family val="2"/>
        <scheme val="minor"/>
      </rPr>
      <t xml:space="preserve"> *Zoomsys </t>
    </r>
    <r>
      <rPr>
        <b/>
        <sz val="11"/>
        <color rgb="FFFF0000"/>
        <rFont val="맑은 고딕"/>
        <family val="3"/>
        <charset val="129"/>
      </rPr>
      <t>만든거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맑은 고딕"/>
        <family val="3"/>
        <charset val="129"/>
      </rPr>
      <t>돈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맑은 고딕"/>
        <family val="3"/>
        <charset val="129"/>
      </rPr>
      <t>언제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맑은 고딕"/>
        <family val="3"/>
        <charset val="129"/>
      </rPr>
      <t>들어온다했죠</t>
    </r>
    <r>
      <rPr>
        <b/>
        <sz val="11"/>
        <color rgb="FFFF0000"/>
        <rFont val="游ゴシック"/>
        <family val="2"/>
        <scheme val="minor"/>
      </rPr>
      <t xml:space="preserve">? - </t>
    </r>
    <r>
      <rPr>
        <b/>
        <sz val="11"/>
        <color rgb="FFFF0000"/>
        <rFont val="맑은 고딕"/>
        <family val="3"/>
        <charset val="129"/>
      </rPr>
      <t>현금으로</t>
    </r>
    <r>
      <rPr>
        <b/>
        <sz val="11"/>
        <color rgb="FFFF0000"/>
        <rFont val="游ゴシック"/>
        <family val="2"/>
        <scheme val="minor"/>
      </rPr>
      <t xml:space="preserve"> </t>
    </r>
    <r>
      <rPr>
        <b/>
        <sz val="11"/>
        <color rgb="FFFF0000"/>
        <rFont val="맑은 고딕"/>
        <family val="2"/>
        <charset val="129"/>
      </rPr>
      <t>2만엔 주시겠어요? + ★ 현주씨한테 10월분 수업료 현금 3만엔 받기</t>
    </r>
    <phoneticPr fontId="4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</si>
</sst>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&quot;年&quot;\ m&quot;月&quot;"/>
    <numFmt numFmtId="177" formatCode="d"/>
    <numFmt numFmtId="178" formatCode="dddd"/>
    <numFmt numFmtId="179" formatCode="aaa"/>
    <numFmt numFmtId="180" formatCode="m&quot;月&quot;\ d&quot;日&quot;"/>
  </numFmts>
  <fonts count="79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9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  <font>
      <b/>
      <sz val="36"/>
      <color theme="7" tint="-0.499984740745262"/>
      <name val="맑은 고딕"/>
      <family val="3"/>
      <charset val="129"/>
    </font>
    <font>
      <b/>
      <sz val="36"/>
      <color theme="7" tint="-0.499984740745262"/>
      <name val="Meiryo UI"/>
      <family val="3"/>
      <charset val="128"/>
    </font>
    <font>
      <b/>
      <sz val="12"/>
      <color theme="4" tint="-0.249977111117893"/>
      <name val="游ゴシック"/>
      <family val="2"/>
      <scheme val="minor"/>
    </font>
    <font>
      <b/>
      <sz val="9"/>
      <color theme="1"/>
      <name val="游ゴシック"/>
      <family val="2"/>
      <scheme val="minor"/>
    </font>
    <font>
      <b/>
      <sz val="9"/>
      <color theme="4"/>
      <name val="游ゴシック"/>
      <family val="2"/>
      <scheme val="minor"/>
    </font>
    <font>
      <sz val="9"/>
      <name val="游ゴシック"/>
      <family val="1"/>
      <scheme val="minor"/>
    </font>
    <font>
      <sz val="8"/>
      <name val="Arial"/>
      <family val="2"/>
    </font>
    <font>
      <b/>
      <sz val="24"/>
      <color theme="7" tint="-0.499984740745262"/>
      <name val="맑은 고딕"/>
      <family val="3"/>
      <charset val="129"/>
    </font>
    <font>
      <b/>
      <sz val="24"/>
      <color theme="7" tint="-0.499984740745262"/>
      <name val="Meiryo UI"/>
      <family val="3"/>
      <charset val="128"/>
    </font>
    <font>
      <b/>
      <sz val="16"/>
      <color rgb="FFFF0000"/>
      <name val="HY견고딕"/>
      <family val="1"/>
      <charset val="129"/>
    </font>
    <font>
      <b/>
      <sz val="16"/>
      <color theme="0"/>
      <name val="HY견고딕"/>
      <family val="1"/>
      <charset val="129"/>
    </font>
    <font>
      <b/>
      <sz val="16"/>
      <color rgb="FFFFFF00"/>
      <name val="HY견고딕"/>
      <family val="1"/>
      <charset val="129"/>
    </font>
    <font>
      <b/>
      <sz val="11"/>
      <color theme="1"/>
      <name val="游ゴシック"/>
      <scheme val="minor"/>
    </font>
    <font>
      <sz val="11"/>
      <color theme="1"/>
      <name val="游ゴシック"/>
      <family val="3"/>
      <charset val="128"/>
      <scheme val="minor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游ゴシック"/>
      <family val="2"/>
      <charset val="129"/>
    </font>
    <font>
      <b/>
      <sz val="16"/>
      <color theme="0"/>
      <name val="游ゴシック"/>
      <family val="2"/>
      <scheme val="minor"/>
    </font>
    <font>
      <b/>
      <sz val="16"/>
      <name val="游ゴシック"/>
      <family val="2"/>
      <scheme val="minor"/>
    </font>
    <font>
      <b/>
      <sz val="18"/>
      <name val="游ゴシック"/>
      <family val="2"/>
      <scheme val="minor"/>
    </font>
    <font>
      <sz val="18"/>
      <color rgb="FFFF0000"/>
      <name val="游ゴシック"/>
      <family val="2"/>
      <scheme val="minor"/>
    </font>
    <font>
      <b/>
      <sz val="18"/>
      <color rgb="FFFF0000"/>
      <name val="游ゴシック"/>
      <family val="2"/>
      <scheme val="minor"/>
    </font>
    <font>
      <b/>
      <sz val="18"/>
      <name val="游ゴシック"/>
      <family val="3"/>
      <charset val="129"/>
      <scheme val="minor"/>
    </font>
    <font>
      <b/>
      <sz val="18"/>
      <color rgb="FFFF0000"/>
      <name val="游ゴシック"/>
      <family val="3"/>
      <charset val="129"/>
      <scheme val="minor"/>
    </font>
    <font>
      <b/>
      <sz val="18"/>
      <color theme="1"/>
      <name val="游ゴシック"/>
      <family val="3"/>
      <charset val="129"/>
      <scheme val="minor"/>
    </font>
    <font>
      <b/>
      <sz val="18"/>
      <color theme="1" tint="0.34998626667073579"/>
      <name val="游ゴシック"/>
      <family val="3"/>
      <charset val="129"/>
      <scheme val="minor"/>
    </font>
    <font>
      <b/>
      <sz val="18"/>
      <color theme="1" tint="0.34998626667073579"/>
      <name val="Yu Gothic"/>
      <family val="2"/>
      <charset val="128"/>
    </font>
    <font>
      <sz val="18"/>
      <name val="游ゴシック"/>
      <family val="2"/>
      <scheme val="minor"/>
    </font>
    <font>
      <sz val="18"/>
      <color theme="1" tint="0.34998626667073579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b/>
      <sz val="11"/>
      <color theme="4"/>
      <name val="游ゴシック"/>
      <family val="2"/>
      <scheme val="minor"/>
    </font>
    <font>
      <sz val="11"/>
      <name val="Arial"/>
      <family val="2"/>
    </font>
    <font>
      <b/>
      <sz val="11"/>
      <color rgb="FFFF0000"/>
      <name val="游ゴシック"/>
      <scheme val="minor"/>
    </font>
    <font>
      <sz val="11"/>
      <color rgb="FFFF0000"/>
      <name val="游ゴシック"/>
      <scheme val="minor"/>
    </font>
    <font>
      <sz val="11"/>
      <color theme="1"/>
      <name val="游ゴシック"/>
      <scheme val="minor"/>
    </font>
    <font>
      <sz val="11"/>
      <color theme="4"/>
      <name val="游ゴシック"/>
      <scheme val="minor"/>
    </font>
    <font>
      <b/>
      <sz val="9"/>
      <color rgb="FFFF0000"/>
      <name val="游ゴシック"/>
      <family val="2"/>
      <scheme val="minor"/>
    </font>
    <font>
      <b/>
      <sz val="11"/>
      <color theme="1"/>
      <name val="맑은 고딕"/>
      <family val="3"/>
      <charset val="129"/>
    </font>
    <font>
      <sz val="8"/>
      <name val="游ゴシック"/>
      <family val="2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游ゴシック"/>
      <family val="3"/>
      <charset val="129"/>
      <scheme val="minor"/>
    </font>
    <font>
      <sz val="11"/>
      <color theme="1"/>
      <name val="游ゴシック"/>
      <family val="2"/>
      <scheme val="minor"/>
    </font>
    <font>
      <sz val="11"/>
      <color theme="0"/>
      <name val="游ゴシック"/>
      <family val="2"/>
      <scheme val="minor"/>
    </font>
    <font>
      <sz val="11"/>
      <color rgb="FF00B050"/>
      <name val="游ゴシック"/>
      <family val="2"/>
      <scheme val="minor"/>
    </font>
    <font>
      <b/>
      <sz val="11"/>
      <color theme="0"/>
      <name val="游ゴシック"/>
      <family val="2"/>
      <scheme val="minor"/>
    </font>
    <font>
      <sz val="11"/>
      <color theme="1"/>
      <name val="Calibri"/>
      <family val="2"/>
    </font>
    <font>
      <sz val="11"/>
      <color theme="1"/>
      <name val="MS UI Gothic"/>
      <family val="2"/>
      <charset val="134"/>
    </font>
    <font>
      <b/>
      <sz val="11"/>
      <color theme="0"/>
      <name val="游ゴシック"/>
      <family val="3"/>
      <charset val="129"/>
      <scheme val="minor"/>
    </font>
    <font>
      <sz val="11"/>
      <color theme="0"/>
      <name val="맑은 고딕"/>
      <family val="2"/>
      <charset val="129"/>
    </font>
    <font>
      <sz val="11"/>
      <color rgb="FFFF0000"/>
      <name val="游ゴシック"/>
      <family val="2"/>
      <scheme val="minor"/>
    </font>
    <font>
      <sz val="11"/>
      <color rgb="FFFF0000"/>
      <name val="游ゴシック"/>
      <family val="3"/>
      <charset val="129"/>
      <scheme val="minor"/>
    </font>
    <font>
      <sz val="11"/>
      <color rgb="FF0000FF"/>
      <name val="游ゴシック"/>
      <family val="3"/>
      <charset val="129"/>
      <scheme val="minor"/>
    </font>
    <font>
      <sz val="11"/>
      <color rgb="FF0000FF"/>
      <name val="游ゴシック"/>
      <family val="2"/>
      <scheme val="minor"/>
    </font>
    <font>
      <sz val="11"/>
      <color rgb="FFFFC000"/>
      <name val="游ゴシック"/>
      <family val="2"/>
      <scheme val="minor"/>
    </font>
    <font>
      <sz val="11"/>
      <color rgb="FFFFC000"/>
      <name val="游ゴシック"/>
      <family val="3"/>
      <charset val="129"/>
      <scheme val="minor"/>
    </font>
    <font>
      <sz val="11"/>
      <color rgb="FF00B050"/>
      <name val="游ゴシック"/>
      <family val="3"/>
      <charset val="129"/>
      <scheme val="minor"/>
    </font>
    <font>
      <sz val="11"/>
      <color theme="0"/>
      <name val="游ゴシック"/>
      <family val="3"/>
      <charset val="129"/>
      <scheme val="minor"/>
    </font>
    <font>
      <b/>
      <sz val="11"/>
      <color rgb="FFFFC000"/>
      <name val="游ゴシック"/>
      <family val="3"/>
      <charset val="129"/>
      <scheme val="minor"/>
    </font>
    <font>
      <b/>
      <sz val="11"/>
      <color rgb="FFFFC000"/>
      <name val="游ゴシック"/>
      <family val="2"/>
      <scheme val="minor"/>
    </font>
    <font>
      <b/>
      <sz val="11"/>
      <color rgb="FF00B050"/>
      <name val="游ゴシック"/>
      <family val="2"/>
      <scheme val="minor"/>
    </font>
    <font>
      <b/>
      <sz val="11"/>
      <color rgb="FFFF0000"/>
      <name val="游ゴシック"/>
      <family val="3"/>
      <charset val="129"/>
      <scheme val="minor"/>
    </font>
    <font>
      <b/>
      <sz val="11"/>
      <color rgb="FFFF0000"/>
      <name val="游ゴシック"/>
      <family val="2"/>
      <scheme val="minor"/>
    </font>
    <font>
      <b/>
      <sz val="11"/>
      <color theme="1"/>
      <name val="游ゴシック"/>
      <family val="3"/>
      <charset val="129"/>
      <scheme val="minor"/>
    </font>
    <font>
      <sz val="11"/>
      <color theme="1"/>
      <name val="MS UI Gothic"/>
      <family val="3"/>
      <charset val="129"/>
    </font>
    <font>
      <sz val="11"/>
      <color theme="0"/>
      <name val="游ゴシック"/>
      <family val="2"/>
      <charset val="129"/>
      <scheme val="minor"/>
    </font>
    <font>
      <sz val="11"/>
      <color rgb="FF0000FF"/>
      <name val="游ゴシック"/>
      <family val="2"/>
      <charset val="129"/>
      <scheme val="minor"/>
    </font>
    <font>
      <b/>
      <sz val="11"/>
      <color rgb="FFFFC000"/>
      <name val="游ゴシック"/>
      <family val="2"/>
      <charset val="129"/>
      <scheme val="minor"/>
    </font>
    <font>
      <b/>
      <sz val="11"/>
      <color theme="1"/>
      <name val="游ゴシック"/>
      <family val="2"/>
      <charset val="129"/>
      <scheme val="minor"/>
    </font>
    <font>
      <b/>
      <sz val="11"/>
      <color rgb="FFFF0000"/>
      <name val="游ゴシック"/>
      <family val="2"/>
      <charset val="129"/>
      <scheme val="minor"/>
    </font>
    <font>
      <b/>
      <sz val="11"/>
      <color rgb="FF0000FF"/>
      <name val="游ゴシック"/>
      <family val="2"/>
      <scheme val="minor"/>
    </font>
    <font>
      <b/>
      <sz val="11"/>
      <color rgb="FF0000FF"/>
      <name val="游ゴシック"/>
      <family val="2"/>
      <charset val="129"/>
      <scheme val="minor"/>
    </font>
    <font>
      <b/>
      <sz val="11"/>
      <color rgb="FFFF0000"/>
      <name val="맑은 고딕"/>
      <family val="2"/>
      <charset val="129"/>
    </font>
    <font>
      <b/>
      <sz val="11"/>
      <color rgb="FFFF0000"/>
      <name val="Segoe UI Symbo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8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0" fontId="17" fillId="0" borderId="0" xfId="0" applyFont="1">
      <alignment vertical="center"/>
    </xf>
    <xf numFmtId="0" fontId="20" fillId="0" borderId="0" xfId="0" applyFont="1">
      <alignment vertical="center"/>
    </xf>
    <xf numFmtId="0" fontId="0" fillId="0" borderId="0" xfId="0" applyProtection="1">
      <alignment vertical="center"/>
    </xf>
    <xf numFmtId="0" fontId="17" fillId="0" borderId="0" xfId="0" applyFont="1" applyProtection="1">
      <alignment vertical="center"/>
    </xf>
    <xf numFmtId="0" fontId="11" fillId="0" borderId="0" xfId="0" applyFont="1" applyAlignment="1" applyProtection="1"/>
    <xf numFmtId="0" fontId="37" fillId="0" borderId="0" xfId="0" applyFont="1" applyAlignment="1" applyProtection="1">
      <alignment horizontal="center" shrinkToFit="1"/>
    </xf>
    <xf numFmtId="0" fontId="34" fillId="0" borderId="0" xfId="0" applyFont="1" applyAlignment="1" applyProtection="1">
      <alignment horizontal="center" shrinkToFit="1"/>
    </xf>
    <xf numFmtId="0" fontId="35" fillId="0" borderId="0" xfId="0" applyFont="1" applyAlignment="1" applyProtection="1">
      <alignment horizontal="center" shrinkToFit="1"/>
    </xf>
    <xf numFmtId="0" fontId="36" fillId="0" borderId="0" xfId="0" applyFont="1" applyAlignment="1" applyProtection="1"/>
    <xf numFmtId="177" fontId="38" fillId="0" borderId="0" xfId="0" applyNumberFormat="1" applyFont="1" applyAlignment="1" applyProtection="1">
      <alignment horizontal="center" vertical="center" shrinkToFit="1"/>
    </xf>
    <xf numFmtId="177" fontId="39" fillId="0" borderId="0" xfId="0" applyNumberFormat="1" applyFont="1" applyAlignment="1" applyProtection="1">
      <alignment horizontal="center" vertical="center" shrinkToFit="1"/>
    </xf>
    <xf numFmtId="177" fontId="40" fillId="0" borderId="0" xfId="0" applyNumberFormat="1" applyFont="1" applyAlignment="1" applyProtection="1">
      <alignment horizontal="center" vertical="center" shrinkToFit="1"/>
    </xf>
    <xf numFmtId="0" fontId="0" fillId="0" borderId="0" xfId="0" applyFont="1" applyProtection="1">
      <alignment vertical="center"/>
    </xf>
    <xf numFmtId="177" fontId="24" fillId="0" borderId="23" xfId="0" applyNumberFormat="1" applyFont="1" applyFill="1" applyBorder="1" applyAlignment="1" applyProtection="1">
      <alignment horizontal="center" vertical="center" shrinkToFit="1"/>
    </xf>
    <xf numFmtId="0" fontId="25" fillId="0" borderId="24" xfId="0" applyFont="1" applyFill="1" applyBorder="1" applyAlignment="1" applyProtection="1">
      <alignment horizontal="left" vertical="center" shrinkToFit="1"/>
    </xf>
    <xf numFmtId="177" fontId="24" fillId="0" borderId="2" xfId="0" applyNumberFormat="1" applyFont="1" applyFill="1" applyBorder="1" applyAlignment="1" applyProtection="1">
      <alignment horizontal="center" vertical="center" shrinkToFit="1"/>
    </xf>
    <xf numFmtId="0" fontId="26" fillId="0" borderId="3" xfId="0" applyFont="1" applyFill="1" applyBorder="1" applyAlignment="1" applyProtection="1">
      <alignment horizontal="left" vertical="center" shrinkToFit="1"/>
    </xf>
    <xf numFmtId="0" fontId="26" fillId="0" borderId="0" xfId="0" applyFont="1" applyFill="1" applyAlignment="1" applyProtection="1">
      <alignment horizontal="left" vertical="center" shrinkToFit="1"/>
    </xf>
    <xf numFmtId="177" fontId="24" fillId="0" borderId="4" xfId="0" applyNumberFormat="1" applyFont="1" applyFill="1" applyBorder="1" applyAlignment="1" applyProtection="1">
      <alignment horizontal="center" vertical="center" shrinkToFit="1"/>
    </xf>
    <xf numFmtId="0" fontId="26" fillId="0" borderId="5" xfId="0" applyFont="1" applyBorder="1" applyAlignment="1" applyProtection="1">
      <alignment horizontal="left" vertical="center" shrinkToFit="1"/>
    </xf>
    <xf numFmtId="177" fontId="10" fillId="0" borderId="0" xfId="0" applyNumberFormat="1" applyFont="1" applyAlignment="1" applyProtection="1">
      <alignment horizontal="center" vertical="center" shrinkToFit="1"/>
    </xf>
    <xf numFmtId="14" fontId="0" fillId="0" borderId="0" xfId="0" applyNumberFormat="1" applyProtection="1">
      <alignment vertical="center"/>
    </xf>
    <xf numFmtId="177" fontId="24" fillId="0" borderId="25" xfId="0" applyNumberFormat="1" applyFont="1" applyFill="1" applyBorder="1" applyAlignment="1" applyProtection="1">
      <alignment vertical="top" shrinkToFit="1"/>
    </xf>
    <xf numFmtId="177" fontId="27" fillId="0" borderId="26" xfId="0" applyNumberFormat="1" applyFont="1" applyFill="1" applyBorder="1" applyAlignment="1" applyProtection="1">
      <alignment vertical="top" wrapText="1" shrinkToFit="1"/>
    </xf>
    <xf numFmtId="177" fontId="24" fillId="0" borderId="2" xfId="0" applyNumberFormat="1" applyFont="1" applyFill="1" applyBorder="1" applyAlignment="1" applyProtection="1">
      <alignment vertical="top" shrinkToFit="1"/>
    </xf>
    <xf numFmtId="177" fontId="24" fillId="0" borderId="3" xfId="0" applyNumberFormat="1" applyFont="1" applyFill="1" applyBorder="1" applyAlignment="1" applyProtection="1">
      <alignment vertical="top" wrapText="1" shrinkToFit="1"/>
    </xf>
    <xf numFmtId="177" fontId="24" fillId="0" borderId="2" xfId="0" applyNumberFormat="1" applyFont="1" applyFill="1" applyBorder="1" applyAlignment="1" applyProtection="1">
      <alignment vertical="top" wrapText="1" shrinkToFit="1"/>
    </xf>
    <xf numFmtId="177" fontId="24" fillId="0" borderId="0" xfId="0" applyNumberFormat="1" applyFont="1" applyFill="1" applyAlignment="1" applyProtection="1">
      <alignment vertical="top" wrapText="1" shrinkToFit="1"/>
    </xf>
    <xf numFmtId="177" fontId="24" fillId="0" borderId="4" xfId="0" applyNumberFormat="1" applyFont="1" applyFill="1" applyBorder="1" applyAlignment="1" applyProtection="1">
      <alignment vertical="top" wrapText="1" shrinkToFit="1"/>
    </xf>
    <xf numFmtId="177" fontId="24" fillId="0" borderId="5" xfId="0" applyNumberFormat="1" applyFont="1" applyBorder="1" applyAlignment="1" applyProtection="1">
      <alignment vertical="top" wrapText="1" shrinkToFit="1"/>
    </xf>
    <xf numFmtId="0" fontId="0" fillId="0" borderId="0" xfId="0" applyBorder="1" applyAlignment="1" applyProtection="1">
      <alignment vertical="top"/>
    </xf>
    <xf numFmtId="177" fontId="26" fillId="0" borderId="17" xfId="0" applyNumberFormat="1" applyFont="1" applyFill="1" applyBorder="1" applyAlignment="1" applyProtection="1">
      <alignment horizontal="center" vertical="center" shrinkToFit="1"/>
    </xf>
    <xf numFmtId="0" fontId="28" fillId="0" borderId="6" xfId="0" applyFont="1" applyFill="1" applyBorder="1" applyAlignment="1" applyProtection="1">
      <alignment horizontal="left" vertical="center" shrinkToFit="1"/>
    </xf>
    <xf numFmtId="177" fontId="24" fillId="0" borderId="7" xfId="0" applyNumberFormat="1" applyFont="1" applyFill="1" applyBorder="1" applyAlignment="1" applyProtection="1">
      <alignment horizontal="center" vertical="center" shrinkToFit="1"/>
    </xf>
    <xf numFmtId="0" fontId="28" fillId="0" borderId="8" xfId="0" applyFont="1" applyFill="1" applyBorder="1" applyAlignment="1" applyProtection="1">
      <alignment horizontal="left" vertical="center" shrinkToFit="1"/>
    </xf>
    <xf numFmtId="177" fontId="24" fillId="0" borderId="9" xfId="0" applyNumberFormat="1" applyFont="1" applyFill="1" applyBorder="1" applyAlignment="1" applyProtection="1">
      <alignment horizontal="center" vertical="center" shrinkToFit="1"/>
    </xf>
    <xf numFmtId="0" fontId="26" fillId="0" borderId="10" xfId="0" applyFont="1" applyBorder="1" applyAlignment="1" applyProtection="1">
      <alignment horizontal="left" vertical="center" shrinkToFit="1"/>
    </xf>
    <xf numFmtId="177" fontId="24" fillId="0" borderId="16" xfId="0" applyNumberFormat="1" applyFont="1" applyFill="1" applyBorder="1" applyAlignment="1" applyProtection="1">
      <alignment vertical="top" shrinkToFit="1"/>
    </xf>
    <xf numFmtId="177" fontId="29" fillId="0" borderId="3" xfId="0" applyNumberFormat="1" applyFont="1" applyFill="1" applyBorder="1" applyAlignment="1" applyProtection="1">
      <alignment vertical="top" wrapText="1" shrinkToFit="1"/>
    </xf>
    <xf numFmtId="0" fontId="20" fillId="0" borderId="0" xfId="0" applyFont="1" applyProtection="1">
      <alignment vertical="center"/>
    </xf>
    <xf numFmtId="0" fontId="8" fillId="0" borderId="0" xfId="0" applyFont="1" applyAlignment="1" applyProtection="1">
      <alignment horizontal="center" shrinkToFit="1"/>
    </xf>
    <xf numFmtId="0" fontId="9" fillId="0" borderId="0" xfId="0" applyFont="1" applyAlignment="1" applyProtection="1">
      <alignment horizontal="center" shrinkToFit="1"/>
    </xf>
    <xf numFmtId="14" fontId="21" fillId="0" borderId="0" xfId="0" applyNumberFormat="1" applyFont="1" applyProtection="1">
      <alignment vertical="center"/>
    </xf>
    <xf numFmtId="177" fontId="24" fillId="0" borderId="16" xfId="0" applyNumberFormat="1" applyFont="1" applyFill="1" applyBorder="1" applyAlignment="1" applyProtection="1">
      <alignment horizontal="center" vertical="top" shrinkToFit="1"/>
    </xf>
    <xf numFmtId="0" fontId="29" fillId="0" borderId="0" xfId="0" applyFont="1" applyFill="1" applyAlignment="1" applyProtection="1">
      <alignment horizontal="left" vertical="top" wrapText="1" shrinkToFit="1"/>
    </xf>
    <xf numFmtId="14" fontId="20" fillId="0" borderId="0" xfId="0" quotePrefix="1" applyNumberFormat="1" applyFont="1" applyProtection="1">
      <alignment vertical="center"/>
    </xf>
    <xf numFmtId="177" fontId="24" fillId="0" borderId="17" xfId="0" applyNumberFormat="1" applyFont="1" applyFill="1" applyBorder="1" applyAlignment="1" applyProtection="1">
      <alignment horizontal="center" vertical="center" shrinkToFit="1"/>
    </xf>
    <xf numFmtId="0" fontId="30" fillId="0" borderId="7" xfId="0" applyFont="1" applyFill="1" applyBorder="1" applyAlignment="1" applyProtection="1">
      <alignment horizontal="left" vertical="center" indent="1"/>
    </xf>
    <xf numFmtId="0" fontId="32" fillId="0" borderId="6" xfId="0" applyFont="1" applyFill="1" applyBorder="1" applyAlignment="1" applyProtection="1"/>
    <xf numFmtId="0" fontId="32" fillId="0" borderId="11" xfId="0" applyFont="1" applyFill="1" applyBorder="1" applyAlignment="1" applyProtection="1"/>
    <xf numFmtId="0" fontId="32" fillId="0" borderId="10" xfId="0" applyFont="1" applyBorder="1" applyAlignment="1" applyProtection="1"/>
    <xf numFmtId="0" fontId="20" fillId="0" borderId="0" xfId="0" quotePrefix="1" applyFont="1" applyProtection="1">
      <alignment vertical="center"/>
    </xf>
    <xf numFmtId="177" fontId="24" fillId="0" borderId="18" xfId="0" applyNumberFormat="1" applyFont="1" applyBorder="1" applyAlignment="1" applyProtection="1">
      <alignment vertical="top" shrinkToFit="1"/>
    </xf>
    <xf numFmtId="177" fontId="29" fillId="0" borderId="12" xfId="0" applyNumberFormat="1" applyFont="1" applyBorder="1" applyAlignment="1" applyProtection="1">
      <alignment vertical="top" wrapText="1" shrinkToFit="1"/>
    </xf>
    <xf numFmtId="177" fontId="24" fillId="0" borderId="13" xfId="0" applyNumberFormat="1" applyFont="1" applyBorder="1" applyAlignment="1" applyProtection="1">
      <alignment vertical="top" shrinkToFit="1"/>
    </xf>
    <xf numFmtId="177" fontId="24" fillId="0" borderId="12" xfId="0" applyNumberFormat="1" applyFont="1" applyBorder="1" applyAlignment="1" applyProtection="1">
      <alignment vertical="top" wrapText="1" shrinkToFit="1"/>
    </xf>
    <xf numFmtId="0" fontId="33" fillId="0" borderId="13" xfId="0" applyFont="1" applyBorder="1" applyAlignment="1" applyProtection="1">
      <alignment horizontal="left" vertical="center" indent="1"/>
    </xf>
    <xf numFmtId="0" fontId="32" fillId="0" borderId="14" xfId="0" applyFont="1" applyBorder="1" applyAlignment="1" applyProtection="1"/>
    <xf numFmtId="0" fontId="32" fillId="0" borderId="15" xfId="0" applyFont="1" applyBorder="1" applyAlignment="1" applyProtection="1"/>
    <xf numFmtId="0" fontId="41" fillId="0" borderId="0" xfId="0" applyFont="1" applyAlignment="1" applyProtection="1">
      <alignment horizontal="center" shrinkToFit="1"/>
    </xf>
    <xf numFmtId="0" fontId="0" fillId="0" borderId="0" xfId="0" quotePrefix="1" applyProtection="1">
      <alignment vertical="center"/>
    </xf>
    <xf numFmtId="0" fontId="7" fillId="3" borderId="0" xfId="0" applyFont="1" applyFill="1" applyAlignment="1" applyProtection="1">
      <alignment horizontal="left" vertical="center"/>
    </xf>
    <xf numFmtId="0" fontId="34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/>
    </xf>
    <xf numFmtId="14" fontId="47" fillId="0" borderId="0" xfId="0" applyNumberFormat="1" applyFont="1" applyAlignment="1" applyProtection="1">
      <alignment vertical="center"/>
    </xf>
    <xf numFmtId="179" fontId="47" fillId="0" borderId="0" xfId="0" applyNumberFormat="1" applyFont="1" applyAlignment="1" applyProtection="1">
      <alignment horizontal="center" vertical="center"/>
    </xf>
    <xf numFmtId="14" fontId="47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center"/>
    </xf>
    <xf numFmtId="0" fontId="47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vertical="center"/>
      <protection locked="0"/>
    </xf>
    <xf numFmtId="14" fontId="47" fillId="0" borderId="0" xfId="0" applyNumberFormat="1" applyFont="1" applyAlignment="1" applyProtection="1">
      <alignment vertical="center"/>
      <protection locked="0"/>
    </xf>
    <xf numFmtId="0" fontId="47" fillId="0" borderId="0" xfId="0" applyFon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49" fillId="0" borderId="0" xfId="0" applyFont="1" applyProtection="1">
      <alignment vertical="center"/>
      <protection locked="0"/>
    </xf>
    <xf numFmtId="0" fontId="34" fillId="0" borderId="0" xfId="0" applyFont="1">
      <alignment vertical="center"/>
    </xf>
    <xf numFmtId="0" fontId="47" fillId="0" borderId="0" xfId="0" applyFont="1">
      <alignment vertical="center"/>
    </xf>
    <xf numFmtId="14" fontId="47" fillId="0" borderId="0" xfId="0" applyNumberFormat="1" applyFont="1">
      <alignment vertical="center"/>
    </xf>
    <xf numFmtId="0" fontId="21" fillId="0" borderId="0" xfId="0" applyFont="1">
      <alignment vertical="center"/>
    </xf>
    <xf numFmtId="0" fontId="47" fillId="0" borderId="0" xfId="0" applyFont="1" applyAlignment="1">
      <alignment vertical="center"/>
    </xf>
    <xf numFmtId="0" fontId="45" fillId="0" borderId="0" xfId="0" applyFont="1">
      <alignment vertical="center"/>
    </xf>
    <xf numFmtId="0" fontId="42" fillId="0" borderId="0" xfId="0" applyFont="1">
      <alignment vertical="center"/>
    </xf>
    <xf numFmtId="180" fontId="45" fillId="0" borderId="0" xfId="0" applyNumberFormat="1" applyFont="1">
      <alignment vertical="center"/>
    </xf>
    <xf numFmtId="0" fontId="45" fillId="0" borderId="0" xfId="0" applyFont="1" applyAlignment="1">
      <alignment horizontal="left" vertical="center"/>
    </xf>
    <xf numFmtId="14" fontId="17" fillId="0" borderId="0" xfId="0" applyNumberFormat="1" applyFont="1" applyAlignment="1" applyProtection="1">
      <alignment horizontal="center" vertical="center"/>
      <protection locked="0"/>
    </xf>
    <xf numFmtId="179" fontId="47" fillId="0" borderId="0" xfId="0" applyNumberFormat="1" applyFont="1" applyAlignment="1">
      <alignment horizontal="center" vertical="center"/>
    </xf>
    <xf numFmtId="0" fontId="50" fillId="0" borderId="0" xfId="0" applyFont="1" applyAlignment="1" applyProtection="1">
      <alignment horizontal="center" vertical="center"/>
    </xf>
    <xf numFmtId="0" fontId="47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4" fillId="0" borderId="0" xfId="0" applyFont="1" applyAlignment="1">
      <alignment horizontal="left" vertical="center"/>
    </xf>
    <xf numFmtId="0" fontId="44" fillId="0" borderId="0" xfId="0" applyFont="1">
      <alignment vertical="center"/>
    </xf>
    <xf numFmtId="0" fontId="54" fillId="0" borderId="0" xfId="0" applyFont="1">
      <alignment vertical="center"/>
    </xf>
    <xf numFmtId="0" fontId="47" fillId="0" borderId="0" xfId="0" applyFont="1" applyAlignment="1" applyProtection="1">
      <alignment vertical="center"/>
    </xf>
    <xf numFmtId="14" fontId="39" fillId="0" borderId="0" xfId="0" applyNumberFormat="1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top"/>
      <protection locked="0"/>
    </xf>
    <xf numFmtId="0" fontId="34" fillId="0" borderId="0" xfId="0" applyFont="1" applyAlignment="1" applyProtection="1">
      <alignment vertical="center"/>
      <protection locked="0"/>
    </xf>
    <xf numFmtId="0" fontId="55" fillId="0" borderId="0" xfId="0" applyFont="1" applyProtection="1">
      <alignment vertical="center"/>
      <protection locked="0"/>
    </xf>
    <xf numFmtId="0" fontId="59" fillId="0" borderId="0" xfId="0" applyFont="1" applyProtection="1">
      <alignment vertical="center"/>
      <protection locked="0"/>
    </xf>
    <xf numFmtId="0" fontId="55" fillId="0" borderId="0" xfId="0" applyFont="1" applyAlignment="1" applyProtection="1">
      <alignment horizontal="left" vertical="top"/>
      <protection locked="0"/>
    </xf>
    <xf numFmtId="0" fontId="59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58" fillId="0" borderId="0" xfId="0" applyFont="1" applyProtection="1">
      <alignment vertical="center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5" fillId="0" borderId="0" xfId="0" applyFont="1" applyAlignment="1" applyProtection="1">
      <alignment horizontal="left" vertical="center"/>
      <protection locked="0"/>
    </xf>
    <xf numFmtId="0" fontId="48" fillId="0" borderId="0" xfId="0" applyFont="1" applyAlignment="1" applyProtection="1">
      <alignment vertical="center"/>
      <protection locked="0"/>
    </xf>
    <xf numFmtId="0" fontId="55" fillId="0" borderId="0" xfId="0" applyFont="1" applyAlignment="1" applyProtection="1">
      <alignment vertical="center"/>
      <protection locked="0"/>
    </xf>
    <xf numFmtId="0" fontId="49" fillId="0" borderId="0" xfId="0" applyFont="1" applyAlignment="1" applyProtection="1">
      <alignment vertical="center"/>
      <protection locked="0"/>
    </xf>
    <xf numFmtId="0" fontId="47" fillId="0" borderId="0" xfId="0" applyFont="1" applyAlignment="1" applyProtection="1">
      <alignment vertical="top"/>
      <protection locked="0"/>
    </xf>
    <xf numFmtId="0" fontId="49" fillId="0" borderId="0" xfId="0" applyFont="1" applyAlignment="1" applyProtection="1">
      <alignment horizontal="left" vertical="top"/>
      <protection locked="0"/>
    </xf>
    <xf numFmtId="0" fontId="48" fillId="0" borderId="0" xfId="0" applyFont="1">
      <alignment vertical="center"/>
    </xf>
    <xf numFmtId="0" fontId="65" fillId="0" borderId="0" xfId="0" applyFont="1" applyProtection="1">
      <alignment vertical="center"/>
      <protection locked="0"/>
    </xf>
    <xf numFmtId="0" fontId="50" fillId="0" borderId="0" xfId="0" applyFont="1" applyProtection="1">
      <alignment vertical="center"/>
      <protection locked="0"/>
    </xf>
    <xf numFmtId="0" fontId="48" fillId="0" borderId="0" xfId="0" applyFont="1" applyProtection="1">
      <alignment vertical="center"/>
      <protection locked="0"/>
    </xf>
    <xf numFmtId="0" fontId="34" fillId="0" borderId="0" xfId="0" applyFont="1" applyProtection="1">
      <alignment vertical="center"/>
      <protection locked="0"/>
    </xf>
    <xf numFmtId="0" fontId="67" fillId="0" borderId="0" xfId="0" applyFont="1" applyProtection="1">
      <alignment vertical="center"/>
      <protection locked="0"/>
    </xf>
    <xf numFmtId="0" fontId="67" fillId="0" borderId="0" xfId="0" applyFont="1" applyAlignment="1" applyProtection="1">
      <alignment horizontal="left" vertical="center"/>
      <protection locked="0"/>
    </xf>
    <xf numFmtId="0" fontId="64" fillId="0" borderId="0" xfId="0" applyFont="1" applyAlignment="1" applyProtection="1">
      <alignment horizontal="left" vertical="center"/>
      <protection locked="0"/>
    </xf>
    <xf numFmtId="0" fontId="64" fillId="0" borderId="0" xfId="0" applyFont="1" applyProtection="1">
      <alignment vertic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75" fillId="0" borderId="0" xfId="0" applyFont="1" applyAlignment="1" applyProtection="1">
      <alignment vertical="center"/>
      <protection locked="0"/>
    </xf>
    <xf numFmtId="176" fontId="12" fillId="0" borderId="0" xfId="1" applyNumberFormat="1" applyFont="1" applyFill="1" applyBorder="1" applyAlignment="1" applyProtection="1">
      <alignment horizontal="center" vertical="center"/>
    </xf>
    <xf numFmtId="176" fontId="13" fillId="0" borderId="0" xfId="1" applyNumberFormat="1" applyFont="1" applyFill="1" applyBorder="1" applyAlignment="1" applyProtection="1">
      <alignment horizontal="center" vertical="center"/>
    </xf>
    <xf numFmtId="178" fontId="14" fillId="4" borderId="22" xfId="0" applyNumberFormat="1" applyFont="1" applyFill="1" applyBorder="1" applyAlignment="1" applyProtection="1">
      <alignment horizontal="center" vertical="center" shrinkToFit="1"/>
    </xf>
    <xf numFmtId="178" fontId="14" fillId="4" borderId="21" xfId="0" applyNumberFormat="1" applyFont="1" applyFill="1" applyBorder="1" applyAlignment="1" applyProtection="1">
      <alignment horizontal="center" vertical="center" shrinkToFit="1"/>
    </xf>
    <xf numFmtId="178" fontId="15" fillId="4" borderId="19" xfId="0" applyNumberFormat="1" applyFont="1" applyFill="1" applyBorder="1" applyAlignment="1" applyProtection="1">
      <alignment horizontal="center" vertical="center" shrinkToFit="1"/>
    </xf>
    <xf numFmtId="178" fontId="15" fillId="4" borderId="21" xfId="0" applyNumberFormat="1" applyFont="1" applyFill="1" applyBorder="1" applyAlignment="1" applyProtection="1">
      <alignment horizontal="center" vertical="center" shrinkToFit="1"/>
    </xf>
    <xf numFmtId="178" fontId="16" fillId="4" borderId="19" xfId="0" applyNumberFormat="1" applyFont="1" applyFill="1" applyBorder="1" applyAlignment="1" applyProtection="1">
      <alignment horizontal="center" vertical="center" shrinkToFit="1"/>
    </xf>
    <xf numFmtId="178" fontId="16" fillId="4" borderId="20" xfId="0" applyNumberFormat="1" applyFont="1" applyFill="1" applyBorder="1" applyAlignment="1" applyProtection="1">
      <alignment horizontal="center" vertical="center" shrinkToFit="1"/>
    </xf>
    <xf numFmtId="0" fontId="23" fillId="3" borderId="1" xfId="0" applyFont="1" applyFill="1" applyBorder="1" applyAlignment="1" applyProtection="1">
      <alignment horizontal="center" vertical="center"/>
    </xf>
    <xf numFmtId="0" fontId="22" fillId="2" borderId="1" xfId="0" applyFont="1" applyFill="1" applyBorder="1" applyAlignment="1" applyProtection="1">
      <alignment horizontal="center" vertical="center"/>
    </xf>
    <xf numFmtId="176" fontId="5" fillId="0" borderId="0" xfId="1" applyNumberFormat="1" applyFont="1" applyFill="1" applyBorder="1" applyAlignment="1" applyProtection="1">
      <alignment horizontal="center" vertical="center"/>
    </xf>
    <xf numFmtId="176" fontId="6" fillId="0" borderId="0" xfId="1" applyNumberFormat="1" applyFont="1" applyFill="1" applyBorder="1" applyAlignment="1" applyProtection="1">
      <alignment horizontal="center" vertical="center"/>
    </xf>
    <xf numFmtId="0" fontId="1" fillId="0" borderId="0" xfId="0" applyFont="1" applyProtection="1">
      <alignment vertical="center"/>
    </xf>
    <xf numFmtId="0" fontId="1" fillId="0" borderId="0" xfId="0" applyFont="1" applyAlignment="1" applyProtection="1">
      <alignment vertical="center"/>
    </xf>
    <xf numFmtId="0" fontId="20" fillId="0" borderId="0" xfId="0" applyFont="1" applyAlignment="1" applyProtection="1">
      <alignment vertical="center"/>
      <protection locked="0"/>
    </xf>
  </cellXfs>
  <cellStyles count="2">
    <cellStyle name="タイトル" xfId="1" builtinId="15"/>
    <cellStyle name="標準" xfId="0" builtinId="0"/>
  </cellStyles>
  <dxfs count="3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4" tint="-0.24994659260841701"/>
      </font>
    </dxf>
    <dxf>
      <font>
        <color theme="0" tint="-0.34998626667073579"/>
      </font>
    </dxf>
    <dxf>
      <font>
        <color rgb="FFFF0000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theme="4" tint="-0.24994659260841701"/>
      </font>
    </dxf>
    <dxf>
      <font>
        <color theme="0" tint="-0.34998626667073579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F4EE77DC-EB40-492E-932C-703FC967065B}" type="doc">
      <dgm:prSet loTypeId="urn:microsoft.com/office/officeart/2008/layout/LinedList" loCatId="list" qsTypeId="urn:microsoft.com/office/officeart/2005/8/quickstyle/simple2" qsCatId="simple" csTypeId="urn:microsoft.com/office/officeart/2005/8/colors/colorful2" csCatId="colorful" phldr="1"/>
      <dgm:spPr/>
      <dgm:t>
        <a:bodyPr/>
        <a:lstStyle/>
        <a:p>
          <a:endParaRPr kumimoji="1" lang="ja-JP" altLang="en-US"/>
        </a:p>
      </dgm:t>
    </dgm:pt>
    <dgm:pt modelId="{EBCD04F8-24C4-40FB-8112-57D0ED462094}">
      <dgm:prSet phldrT="[텍스트]"/>
      <dgm:spPr/>
      <dgm:t>
        <a:bodyPr/>
        <a:lstStyle/>
        <a:p>
          <a:r>
            <a:rPr kumimoji="1" lang="en-US" altLang="ko-KR"/>
            <a:t>2020 Big Events</a:t>
          </a:r>
          <a:endParaRPr kumimoji="1" lang="ja-JP" altLang="en-US"/>
        </a:p>
      </dgm:t>
    </dgm:pt>
    <dgm:pt modelId="{58CC2B3D-9DF8-471B-BB08-0B0474B0E2E9}" type="parTrans" cxnId="{F79AEC11-6BBD-4257-9FC2-4494FAA0B09E}">
      <dgm:prSet/>
      <dgm:spPr/>
      <dgm:t>
        <a:bodyPr/>
        <a:lstStyle/>
        <a:p>
          <a:endParaRPr kumimoji="1" lang="ja-JP" altLang="en-US"/>
        </a:p>
      </dgm:t>
    </dgm:pt>
    <dgm:pt modelId="{74D44B0C-04A3-4E9E-B46E-64B41DDCF02C}" type="sibTrans" cxnId="{F79AEC11-6BBD-4257-9FC2-4494FAA0B09E}">
      <dgm:prSet/>
      <dgm:spPr/>
      <dgm:t>
        <a:bodyPr/>
        <a:lstStyle/>
        <a:p>
          <a:endParaRPr kumimoji="1" lang="ja-JP" altLang="en-US"/>
        </a:p>
      </dgm:t>
    </dgm:pt>
    <dgm:pt modelId="{13C70A27-1B7D-4EC1-8FC1-3D76C3771E8E}">
      <dgm:prSet phldrT="[텍스트]"/>
      <dgm:spPr/>
      <dgm:t>
        <a:bodyPr/>
        <a:lstStyle/>
        <a:p>
          <a:r>
            <a:rPr kumimoji="1" lang="en-US" altLang="ko-KR"/>
            <a:t>1</a:t>
          </a:r>
          <a:r>
            <a:rPr kumimoji="1" lang="ko-KR" altLang="en-US"/>
            <a:t>차전직을 했다</a:t>
          </a:r>
          <a:r>
            <a:rPr kumimoji="1" lang="en-US" altLang="ko-KR"/>
            <a:t>.</a:t>
          </a:r>
          <a:endParaRPr kumimoji="1" lang="ja-JP" altLang="en-US"/>
        </a:p>
      </dgm:t>
    </dgm:pt>
    <dgm:pt modelId="{0809E219-6F0E-4D42-A92A-86BDC9917F06}" type="parTrans" cxnId="{81D0862E-56A8-40E2-8495-E7EBDB5E5BF3}">
      <dgm:prSet/>
      <dgm:spPr/>
      <dgm:t>
        <a:bodyPr/>
        <a:lstStyle/>
        <a:p>
          <a:endParaRPr kumimoji="1" lang="ja-JP" altLang="en-US"/>
        </a:p>
      </dgm:t>
    </dgm:pt>
    <dgm:pt modelId="{6CF9CC07-BC0C-4A9A-BE52-3DBE5F6464D7}" type="sibTrans" cxnId="{81D0862E-56A8-40E2-8495-E7EBDB5E5BF3}">
      <dgm:prSet/>
      <dgm:spPr/>
      <dgm:t>
        <a:bodyPr/>
        <a:lstStyle/>
        <a:p>
          <a:endParaRPr kumimoji="1" lang="ja-JP" altLang="en-US"/>
        </a:p>
      </dgm:t>
    </dgm:pt>
    <dgm:pt modelId="{7155CF3E-C5CF-4DFA-8702-5C64A16801D4}">
      <dgm:prSet phldrT="[텍스트]"/>
      <dgm:spPr/>
      <dgm:t>
        <a:bodyPr/>
        <a:lstStyle/>
        <a:p>
          <a:r>
            <a:rPr kumimoji="1" lang="en-US" altLang="ja-JP"/>
            <a:t>PHP </a:t>
          </a:r>
          <a:r>
            <a:rPr kumimoji="1" lang="en-US" altLang="ko-KR"/>
            <a:t>Laravel</a:t>
          </a:r>
          <a:endParaRPr kumimoji="1" lang="ja-JP" altLang="en-US"/>
        </a:p>
      </dgm:t>
    </dgm:pt>
    <dgm:pt modelId="{4CD9DB51-95D7-4AAA-BB4A-FDB30ED48206}" type="parTrans" cxnId="{058EEB18-018E-4C00-AE6C-D98AD6706397}">
      <dgm:prSet/>
      <dgm:spPr/>
      <dgm:t>
        <a:bodyPr/>
        <a:lstStyle/>
        <a:p>
          <a:endParaRPr kumimoji="1" lang="ja-JP" altLang="en-US"/>
        </a:p>
      </dgm:t>
    </dgm:pt>
    <dgm:pt modelId="{503CDF02-E386-4DA9-A286-1D85782D3A31}" type="sibTrans" cxnId="{058EEB18-018E-4C00-AE6C-D98AD6706397}">
      <dgm:prSet/>
      <dgm:spPr/>
      <dgm:t>
        <a:bodyPr/>
        <a:lstStyle/>
        <a:p>
          <a:endParaRPr kumimoji="1" lang="ja-JP" altLang="en-US"/>
        </a:p>
      </dgm:t>
    </dgm:pt>
    <dgm:pt modelId="{B9DBDD7A-1784-4F75-9556-2CE50F32B3D9}">
      <dgm:prSet phldrT="[텍스트]"/>
      <dgm:spPr/>
      <dgm:t>
        <a:bodyPr/>
        <a:lstStyle/>
        <a:p>
          <a:r>
            <a:rPr kumimoji="1" lang="en-US" altLang="ja-JP"/>
            <a:t>ReactJS</a:t>
          </a:r>
          <a:endParaRPr kumimoji="1" lang="ja-JP" altLang="en-US"/>
        </a:p>
      </dgm:t>
    </dgm:pt>
    <dgm:pt modelId="{3604E1E1-2087-4488-949E-256957385EC2}" type="parTrans" cxnId="{2F2C7EA0-3FC9-4BE9-9D36-78C4D8897CB8}">
      <dgm:prSet/>
      <dgm:spPr/>
      <dgm:t>
        <a:bodyPr/>
        <a:lstStyle/>
        <a:p>
          <a:endParaRPr kumimoji="1" lang="ja-JP" altLang="en-US"/>
        </a:p>
      </dgm:t>
    </dgm:pt>
    <dgm:pt modelId="{11946150-505A-4EED-9E0A-080CF63B7199}" type="sibTrans" cxnId="{2F2C7EA0-3FC9-4BE9-9D36-78C4D8897CB8}">
      <dgm:prSet/>
      <dgm:spPr/>
      <dgm:t>
        <a:bodyPr/>
        <a:lstStyle/>
        <a:p>
          <a:endParaRPr kumimoji="1" lang="ja-JP" altLang="en-US"/>
        </a:p>
      </dgm:t>
    </dgm:pt>
    <dgm:pt modelId="{B4F3CA47-EEB3-4E27-857C-03DF6CDA4D39}">
      <dgm:prSet phldrT="[텍스트]"/>
      <dgm:spPr/>
      <dgm:t>
        <a:bodyPr/>
        <a:lstStyle/>
        <a:p>
          <a:r>
            <a:rPr kumimoji="1" lang="en-US" altLang="ja-JP"/>
            <a:t>RestAPI, Docker</a:t>
          </a:r>
          <a:endParaRPr kumimoji="1" lang="ja-JP" altLang="en-US"/>
        </a:p>
      </dgm:t>
    </dgm:pt>
    <dgm:pt modelId="{A39A17CD-844B-4C36-9988-69396A8CAA2B}" type="parTrans" cxnId="{994BC1AC-B6D4-440E-BF37-063DA2423044}">
      <dgm:prSet/>
      <dgm:spPr/>
      <dgm:t>
        <a:bodyPr/>
        <a:lstStyle/>
        <a:p>
          <a:endParaRPr kumimoji="1" lang="ja-JP" altLang="en-US"/>
        </a:p>
      </dgm:t>
    </dgm:pt>
    <dgm:pt modelId="{F1AA5AA5-054C-427B-865E-374A14F81600}" type="sibTrans" cxnId="{994BC1AC-B6D4-440E-BF37-063DA2423044}">
      <dgm:prSet/>
      <dgm:spPr/>
      <dgm:t>
        <a:bodyPr/>
        <a:lstStyle/>
        <a:p>
          <a:endParaRPr kumimoji="1" lang="ja-JP" altLang="en-US"/>
        </a:p>
      </dgm:t>
    </dgm:pt>
    <dgm:pt modelId="{4D05F659-29A4-4E33-A741-47E729958ADE}" type="pres">
      <dgm:prSet presAssocID="{F4EE77DC-EB40-492E-932C-703FC967065B}" presName="vert0" presStyleCnt="0">
        <dgm:presLayoutVars>
          <dgm:dir/>
          <dgm:animOne val="branch"/>
          <dgm:animLvl val="lvl"/>
        </dgm:presLayoutVars>
      </dgm:prSet>
      <dgm:spPr/>
    </dgm:pt>
    <dgm:pt modelId="{CBFD0241-7754-41D6-8149-1C2C0EF1E954}" type="pres">
      <dgm:prSet presAssocID="{EBCD04F8-24C4-40FB-8112-57D0ED462094}" presName="thickLine" presStyleLbl="alignNode1" presStyleIdx="0" presStyleCnt="1"/>
      <dgm:spPr/>
    </dgm:pt>
    <dgm:pt modelId="{978314B5-526F-4694-8C1B-2D9C645C5061}" type="pres">
      <dgm:prSet presAssocID="{EBCD04F8-24C4-40FB-8112-57D0ED462094}" presName="horz1" presStyleCnt="0"/>
      <dgm:spPr/>
    </dgm:pt>
    <dgm:pt modelId="{C51890F6-E91C-4BD0-9437-8BA8898DF2F3}" type="pres">
      <dgm:prSet presAssocID="{EBCD04F8-24C4-40FB-8112-57D0ED462094}" presName="tx1" presStyleLbl="revTx" presStyleIdx="0" presStyleCnt="5"/>
      <dgm:spPr/>
    </dgm:pt>
    <dgm:pt modelId="{9111359C-D1A5-4225-9F1F-1E3D61ACAA9C}" type="pres">
      <dgm:prSet presAssocID="{EBCD04F8-24C4-40FB-8112-57D0ED462094}" presName="vert1" presStyleCnt="0"/>
      <dgm:spPr/>
    </dgm:pt>
    <dgm:pt modelId="{43A2B18E-1003-4E55-83B5-754E59679E95}" type="pres">
      <dgm:prSet presAssocID="{13C70A27-1B7D-4EC1-8FC1-3D76C3771E8E}" presName="vertSpace2a" presStyleCnt="0"/>
      <dgm:spPr/>
    </dgm:pt>
    <dgm:pt modelId="{5AEA97E1-42A2-49B8-829A-6C4C24A428DF}" type="pres">
      <dgm:prSet presAssocID="{13C70A27-1B7D-4EC1-8FC1-3D76C3771E8E}" presName="horz2" presStyleCnt="0"/>
      <dgm:spPr/>
    </dgm:pt>
    <dgm:pt modelId="{9B4E62B7-5DC7-4113-875C-30E76F6E4DDF}" type="pres">
      <dgm:prSet presAssocID="{13C70A27-1B7D-4EC1-8FC1-3D76C3771E8E}" presName="horzSpace2" presStyleCnt="0"/>
      <dgm:spPr/>
    </dgm:pt>
    <dgm:pt modelId="{59C14F34-CC7C-46CD-A55E-76954306485E}" type="pres">
      <dgm:prSet presAssocID="{13C70A27-1B7D-4EC1-8FC1-3D76C3771E8E}" presName="tx2" presStyleLbl="revTx" presStyleIdx="1" presStyleCnt="5"/>
      <dgm:spPr/>
    </dgm:pt>
    <dgm:pt modelId="{73975614-C869-4C6C-B2D5-EC68DEF7145C}" type="pres">
      <dgm:prSet presAssocID="{13C70A27-1B7D-4EC1-8FC1-3D76C3771E8E}" presName="vert2" presStyleCnt="0"/>
      <dgm:spPr/>
    </dgm:pt>
    <dgm:pt modelId="{4ADA647B-7BB6-4B54-8BBF-A23D87E69785}" type="pres">
      <dgm:prSet presAssocID="{13C70A27-1B7D-4EC1-8FC1-3D76C3771E8E}" presName="thinLine2b" presStyleLbl="callout" presStyleIdx="0" presStyleCnt="4"/>
      <dgm:spPr/>
    </dgm:pt>
    <dgm:pt modelId="{AB3C9049-4517-4D7B-BA57-75EB7F40333C}" type="pres">
      <dgm:prSet presAssocID="{13C70A27-1B7D-4EC1-8FC1-3D76C3771E8E}" presName="vertSpace2b" presStyleCnt="0"/>
      <dgm:spPr/>
    </dgm:pt>
    <dgm:pt modelId="{9DEB8290-39BB-4886-88C3-3713B367AB6E}" type="pres">
      <dgm:prSet presAssocID="{7155CF3E-C5CF-4DFA-8702-5C64A16801D4}" presName="horz2" presStyleCnt="0"/>
      <dgm:spPr/>
    </dgm:pt>
    <dgm:pt modelId="{62990BF1-020A-4250-84F0-7E82C476A170}" type="pres">
      <dgm:prSet presAssocID="{7155CF3E-C5CF-4DFA-8702-5C64A16801D4}" presName="horzSpace2" presStyleCnt="0"/>
      <dgm:spPr/>
    </dgm:pt>
    <dgm:pt modelId="{709DBEEE-0063-4797-AB2D-D01A5B16ECB9}" type="pres">
      <dgm:prSet presAssocID="{7155CF3E-C5CF-4DFA-8702-5C64A16801D4}" presName="tx2" presStyleLbl="revTx" presStyleIdx="2" presStyleCnt="5"/>
      <dgm:spPr/>
    </dgm:pt>
    <dgm:pt modelId="{DCDDA18A-85D9-49C8-A451-E1331DD67A9A}" type="pres">
      <dgm:prSet presAssocID="{7155CF3E-C5CF-4DFA-8702-5C64A16801D4}" presName="vert2" presStyleCnt="0"/>
      <dgm:spPr/>
    </dgm:pt>
    <dgm:pt modelId="{9648A7C0-114D-4F8E-9524-F9A95A02506D}" type="pres">
      <dgm:prSet presAssocID="{7155CF3E-C5CF-4DFA-8702-5C64A16801D4}" presName="thinLine2b" presStyleLbl="callout" presStyleIdx="1" presStyleCnt="4"/>
      <dgm:spPr/>
    </dgm:pt>
    <dgm:pt modelId="{C5971463-F5D1-4E91-9D1E-EB4361D1ADE4}" type="pres">
      <dgm:prSet presAssocID="{7155CF3E-C5CF-4DFA-8702-5C64A16801D4}" presName="vertSpace2b" presStyleCnt="0"/>
      <dgm:spPr/>
    </dgm:pt>
    <dgm:pt modelId="{0B20F17E-589B-41F5-A67C-B79F46DA6926}" type="pres">
      <dgm:prSet presAssocID="{B4F3CA47-EEB3-4E27-857C-03DF6CDA4D39}" presName="horz2" presStyleCnt="0"/>
      <dgm:spPr/>
    </dgm:pt>
    <dgm:pt modelId="{F1C67795-8E1F-46A1-A9CA-1138BED88454}" type="pres">
      <dgm:prSet presAssocID="{B4F3CA47-EEB3-4E27-857C-03DF6CDA4D39}" presName="horzSpace2" presStyleCnt="0"/>
      <dgm:spPr/>
    </dgm:pt>
    <dgm:pt modelId="{3B9520BB-E0C8-4935-BA02-1FAF14182E53}" type="pres">
      <dgm:prSet presAssocID="{B4F3CA47-EEB3-4E27-857C-03DF6CDA4D39}" presName="tx2" presStyleLbl="revTx" presStyleIdx="3" presStyleCnt="5"/>
      <dgm:spPr/>
    </dgm:pt>
    <dgm:pt modelId="{937FF9FD-2B28-4F57-BC0F-C5C9E224D28F}" type="pres">
      <dgm:prSet presAssocID="{B4F3CA47-EEB3-4E27-857C-03DF6CDA4D39}" presName="vert2" presStyleCnt="0"/>
      <dgm:spPr/>
    </dgm:pt>
    <dgm:pt modelId="{8DC3787E-6B70-4376-8725-80E9C9FB7931}" type="pres">
      <dgm:prSet presAssocID="{B4F3CA47-EEB3-4E27-857C-03DF6CDA4D39}" presName="thinLine2b" presStyleLbl="callout" presStyleIdx="2" presStyleCnt="4"/>
      <dgm:spPr/>
    </dgm:pt>
    <dgm:pt modelId="{4EC918A7-B9F3-4B37-8482-72E50ABD95BD}" type="pres">
      <dgm:prSet presAssocID="{B4F3CA47-EEB3-4E27-857C-03DF6CDA4D39}" presName="vertSpace2b" presStyleCnt="0"/>
      <dgm:spPr/>
    </dgm:pt>
    <dgm:pt modelId="{5FD74720-B43F-4491-AD52-E039C1765CB2}" type="pres">
      <dgm:prSet presAssocID="{B9DBDD7A-1784-4F75-9556-2CE50F32B3D9}" presName="horz2" presStyleCnt="0"/>
      <dgm:spPr/>
    </dgm:pt>
    <dgm:pt modelId="{35B33C26-1492-4881-B756-7FDB2454EE31}" type="pres">
      <dgm:prSet presAssocID="{B9DBDD7A-1784-4F75-9556-2CE50F32B3D9}" presName="horzSpace2" presStyleCnt="0"/>
      <dgm:spPr/>
    </dgm:pt>
    <dgm:pt modelId="{11EC4893-6E47-4253-8ED4-4CCF14947E7D}" type="pres">
      <dgm:prSet presAssocID="{B9DBDD7A-1784-4F75-9556-2CE50F32B3D9}" presName="tx2" presStyleLbl="revTx" presStyleIdx="4" presStyleCnt="5"/>
      <dgm:spPr/>
    </dgm:pt>
    <dgm:pt modelId="{51FA7C3C-0550-49DA-AC8C-ECE8E63AE33E}" type="pres">
      <dgm:prSet presAssocID="{B9DBDD7A-1784-4F75-9556-2CE50F32B3D9}" presName="vert2" presStyleCnt="0"/>
      <dgm:spPr/>
    </dgm:pt>
    <dgm:pt modelId="{3564221C-8D25-4E79-951A-E06137BF560A}" type="pres">
      <dgm:prSet presAssocID="{B9DBDD7A-1784-4F75-9556-2CE50F32B3D9}" presName="thinLine2b" presStyleLbl="callout" presStyleIdx="3" presStyleCnt="4"/>
      <dgm:spPr/>
    </dgm:pt>
    <dgm:pt modelId="{C3C6987D-6275-44CF-B896-50E686F09F2A}" type="pres">
      <dgm:prSet presAssocID="{B9DBDD7A-1784-4F75-9556-2CE50F32B3D9}" presName="vertSpace2b" presStyleCnt="0"/>
      <dgm:spPr/>
    </dgm:pt>
  </dgm:ptLst>
  <dgm:cxnLst>
    <dgm:cxn modelId="{F79AEC11-6BBD-4257-9FC2-4494FAA0B09E}" srcId="{F4EE77DC-EB40-492E-932C-703FC967065B}" destId="{EBCD04F8-24C4-40FB-8112-57D0ED462094}" srcOrd="0" destOrd="0" parTransId="{58CC2B3D-9DF8-471B-BB08-0B0474B0E2E9}" sibTransId="{74D44B0C-04A3-4E9E-B46E-64B41DDCF02C}"/>
    <dgm:cxn modelId="{058EEB18-018E-4C00-AE6C-D98AD6706397}" srcId="{EBCD04F8-24C4-40FB-8112-57D0ED462094}" destId="{7155CF3E-C5CF-4DFA-8702-5C64A16801D4}" srcOrd="1" destOrd="0" parTransId="{4CD9DB51-95D7-4AAA-BB4A-FDB30ED48206}" sibTransId="{503CDF02-E386-4DA9-A286-1D85782D3A31}"/>
    <dgm:cxn modelId="{81D0862E-56A8-40E2-8495-E7EBDB5E5BF3}" srcId="{EBCD04F8-24C4-40FB-8112-57D0ED462094}" destId="{13C70A27-1B7D-4EC1-8FC1-3D76C3771E8E}" srcOrd="0" destOrd="0" parTransId="{0809E219-6F0E-4D42-A92A-86BDC9917F06}" sibTransId="{6CF9CC07-BC0C-4A9A-BE52-3DBE5F6464D7}"/>
    <dgm:cxn modelId="{C4B2DF5F-4810-4C86-B63E-FEDB59B75AC3}" type="presOf" srcId="{B9DBDD7A-1784-4F75-9556-2CE50F32B3D9}" destId="{11EC4893-6E47-4253-8ED4-4CCF14947E7D}" srcOrd="0" destOrd="0" presId="urn:microsoft.com/office/officeart/2008/layout/LinedList"/>
    <dgm:cxn modelId="{B5CA3A8C-E0B5-49C0-827C-2742D4782348}" type="presOf" srcId="{F4EE77DC-EB40-492E-932C-703FC967065B}" destId="{4D05F659-29A4-4E33-A741-47E729958ADE}" srcOrd="0" destOrd="0" presId="urn:microsoft.com/office/officeart/2008/layout/LinedList"/>
    <dgm:cxn modelId="{2F2C7EA0-3FC9-4BE9-9D36-78C4D8897CB8}" srcId="{EBCD04F8-24C4-40FB-8112-57D0ED462094}" destId="{B9DBDD7A-1784-4F75-9556-2CE50F32B3D9}" srcOrd="3" destOrd="0" parTransId="{3604E1E1-2087-4488-949E-256957385EC2}" sibTransId="{11946150-505A-4EED-9E0A-080CF63B7199}"/>
    <dgm:cxn modelId="{994BC1AC-B6D4-440E-BF37-063DA2423044}" srcId="{EBCD04F8-24C4-40FB-8112-57D0ED462094}" destId="{B4F3CA47-EEB3-4E27-857C-03DF6CDA4D39}" srcOrd="2" destOrd="0" parTransId="{A39A17CD-844B-4C36-9988-69396A8CAA2B}" sibTransId="{F1AA5AA5-054C-427B-865E-374A14F81600}"/>
    <dgm:cxn modelId="{4AEE59C5-830F-4D14-A07C-B35CC812FE22}" type="presOf" srcId="{13C70A27-1B7D-4EC1-8FC1-3D76C3771E8E}" destId="{59C14F34-CC7C-46CD-A55E-76954306485E}" srcOrd="0" destOrd="0" presId="urn:microsoft.com/office/officeart/2008/layout/LinedList"/>
    <dgm:cxn modelId="{D45B78C7-DF0E-4B8B-8137-E33AEA370944}" type="presOf" srcId="{EBCD04F8-24C4-40FB-8112-57D0ED462094}" destId="{C51890F6-E91C-4BD0-9437-8BA8898DF2F3}" srcOrd="0" destOrd="0" presId="urn:microsoft.com/office/officeart/2008/layout/LinedList"/>
    <dgm:cxn modelId="{BF3D4DCD-250B-4899-AA16-3AE398A1B8E1}" type="presOf" srcId="{7155CF3E-C5CF-4DFA-8702-5C64A16801D4}" destId="{709DBEEE-0063-4797-AB2D-D01A5B16ECB9}" srcOrd="0" destOrd="0" presId="urn:microsoft.com/office/officeart/2008/layout/LinedList"/>
    <dgm:cxn modelId="{978377D1-CB5F-4571-BD1A-E3B84A3F39A1}" type="presOf" srcId="{B4F3CA47-EEB3-4E27-857C-03DF6CDA4D39}" destId="{3B9520BB-E0C8-4935-BA02-1FAF14182E53}" srcOrd="0" destOrd="0" presId="urn:microsoft.com/office/officeart/2008/layout/LinedList"/>
    <dgm:cxn modelId="{C715AB3C-3880-41A3-BE51-53ACA7B787A6}" type="presParOf" srcId="{4D05F659-29A4-4E33-A741-47E729958ADE}" destId="{CBFD0241-7754-41D6-8149-1C2C0EF1E954}" srcOrd="0" destOrd="0" presId="urn:microsoft.com/office/officeart/2008/layout/LinedList"/>
    <dgm:cxn modelId="{E328152A-DEB4-42DB-86DF-17CA27AC9250}" type="presParOf" srcId="{4D05F659-29A4-4E33-A741-47E729958ADE}" destId="{978314B5-526F-4694-8C1B-2D9C645C5061}" srcOrd="1" destOrd="0" presId="urn:microsoft.com/office/officeart/2008/layout/LinedList"/>
    <dgm:cxn modelId="{B1F96319-237E-422E-9A24-6708FACC3EFA}" type="presParOf" srcId="{978314B5-526F-4694-8C1B-2D9C645C5061}" destId="{C51890F6-E91C-4BD0-9437-8BA8898DF2F3}" srcOrd="0" destOrd="0" presId="urn:microsoft.com/office/officeart/2008/layout/LinedList"/>
    <dgm:cxn modelId="{8CC2F229-9030-4074-AF54-F9B6CDB428D0}" type="presParOf" srcId="{978314B5-526F-4694-8C1B-2D9C645C5061}" destId="{9111359C-D1A5-4225-9F1F-1E3D61ACAA9C}" srcOrd="1" destOrd="0" presId="urn:microsoft.com/office/officeart/2008/layout/LinedList"/>
    <dgm:cxn modelId="{4E75F568-0CE7-401C-9BA6-DE48FA2B4816}" type="presParOf" srcId="{9111359C-D1A5-4225-9F1F-1E3D61ACAA9C}" destId="{43A2B18E-1003-4E55-83B5-754E59679E95}" srcOrd="0" destOrd="0" presId="urn:microsoft.com/office/officeart/2008/layout/LinedList"/>
    <dgm:cxn modelId="{F825F77A-FFFC-4ED2-AB7C-94C70750A2C0}" type="presParOf" srcId="{9111359C-D1A5-4225-9F1F-1E3D61ACAA9C}" destId="{5AEA97E1-42A2-49B8-829A-6C4C24A428DF}" srcOrd="1" destOrd="0" presId="urn:microsoft.com/office/officeart/2008/layout/LinedList"/>
    <dgm:cxn modelId="{BF1D5995-1EBB-4AF8-806C-3F3845B76C94}" type="presParOf" srcId="{5AEA97E1-42A2-49B8-829A-6C4C24A428DF}" destId="{9B4E62B7-5DC7-4113-875C-30E76F6E4DDF}" srcOrd="0" destOrd="0" presId="urn:microsoft.com/office/officeart/2008/layout/LinedList"/>
    <dgm:cxn modelId="{AB0EE9B8-80D6-41CC-989B-25C8BB76534E}" type="presParOf" srcId="{5AEA97E1-42A2-49B8-829A-6C4C24A428DF}" destId="{59C14F34-CC7C-46CD-A55E-76954306485E}" srcOrd="1" destOrd="0" presId="urn:microsoft.com/office/officeart/2008/layout/LinedList"/>
    <dgm:cxn modelId="{AEB7D303-12DD-4B98-90C7-31CEBCB5C843}" type="presParOf" srcId="{5AEA97E1-42A2-49B8-829A-6C4C24A428DF}" destId="{73975614-C869-4C6C-B2D5-EC68DEF7145C}" srcOrd="2" destOrd="0" presId="urn:microsoft.com/office/officeart/2008/layout/LinedList"/>
    <dgm:cxn modelId="{D8A55780-E6F1-4EFC-BE83-2898D6318A62}" type="presParOf" srcId="{9111359C-D1A5-4225-9F1F-1E3D61ACAA9C}" destId="{4ADA647B-7BB6-4B54-8BBF-A23D87E69785}" srcOrd="2" destOrd="0" presId="urn:microsoft.com/office/officeart/2008/layout/LinedList"/>
    <dgm:cxn modelId="{DDC09ECB-5C79-4C4E-A4FA-E23E6496AC03}" type="presParOf" srcId="{9111359C-D1A5-4225-9F1F-1E3D61ACAA9C}" destId="{AB3C9049-4517-4D7B-BA57-75EB7F40333C}" srcOrd="3" destOrd="0" presId="urn:microsoft.com/office/officeart/2008/layout/LinedList"/>
    <dgm:cxn modelId="{69038690-6307-4038-92F3-091A378ABB14}" type="presParOf" srcId="{9111359C-D1A5-4225-9F1F-1E3D61ACAA9C}" destId="{9DEB8290-39BB-4886-88C3-3713B367AB6E}" srcOrd="4" destOrd="0" presId="urn:microsoft.com/office/officeart/2008/layout/LinedList"/>
    <dgm:cxn modelId="{F3AA0E38-F6B8-43B4-BB75-4EAB0A4A4077}" type="presParOf" srcId="{9DEB8290-39BB-4886-88C3-3713B367AB6E}" destId="{62990BF1-020A-4250-84F0-7E82C476A170}" srcOrd="0" destOrd="0" presId="urn:microsoft.com/office/officeart/2008/layout/LinedList"/>
    <dgm:cxn modelId="{92FA0B7C-1711-4B87-B462-EB2782434A5C}" type="presParOf" srcId="{9DEB8290-39BB-4886-88C3-3713B367AB6E}" destId="{709DBEEE-0063-4797-AB2D-D01A5B16ECB9}" srcOrd="1" destOrd="0" presId="urn:microsoft.com/office/officeart/2008/layout/LinedList"/>
    <dgm:cxn modelId="{30A49CAB-35E6-431C-BFDE-C24011ACA35F}" type="presParOf" srcId="{9DEB8290-39BB-4886-88C3-3713B367AB6E}" destId="{DCDDA18A-85D9-49C8-A451-E1331DD67A9A}" srcOrd="2" destOrd="0" presId="urn:microsoft.com/office/officeart/2008/layout/LinedList"/>
    <dgm:cxn modelId="{56C859D0-6BF5-4824-81E1-7FBB5C96CEE7}" type="presParOf" srcId="{9111359C-D1A5-4225-9F1F-1E3D61ACAA9C}" destId="{9648A7C0-114D-4F8E-9524-F9A95A02506D}" srcOrd="5" destOrd="0" presId="urn:microsoft.com/office/officeart/2008/layout/LinedList"/>
    <dgm:cxn modelId="{072734E7-3027-464C-83A9-53C3938B4ED4}" type="presParOf" srcId="{9111359C-D1A5-4225-9F1F-1E3D61ACAA9C}" destId="{C5971463-F5D1-4E91-9D1E-EB4361D1ADE4}" srcOrd="6" destOrd="0" presId="urn:microsoft.com/office/officeart/2008/layout/LinedList"/>
    <dgm:cxn modelId="{F24141DD-4298-4DA6-82EF-BCEF43FE8051}" type="presParOf" srcId="{9111359C-D1A5-4225-9F1F-1E3D61ACAA9C}" destId="{0B20F17E-589B-41F5-A67C-B79F46DA6926}" srcOrd="7" destOrd="0" presId="urn:microsoft.com/office/officeart/2008/layout/LinedList"/>
    <dgm:cxn modelId="{AA564DE8-9DD1-434F-82C3-890FE3EAB7E4}" type="presParOf" srcId="{0B20F17E-589B-41F5-A67C-B79F46DA6926}" destId="{F1C67795-8E1F-46A1-A9CA-1138BED88454}" srcOrd="0" destOrd="0" presId="urn:microsoft.com/office/officeart/2008/layout/LinedList"/>
    <dgm:cxn modelId="{2C6F0B48-19B0-417A-BC91-BB43652259A0}" type="presParOf" srcId="{0B20F17E-589B-41F5-A67C-B79F46DA6926}" destId="{3B9520BB-E0C8-4935-BA02-1FAF14182E53}" srcOrd="1" destOrd="0" presId="urn:microsoft.com/office/officeart/2008/layout/LinedList"/>
    <dgm:cxn modelId="{9E216128-3A84-4D52-838E-C7F8B1E4F74A}" type="presParOf" srcId="{0B20F17E-589B-41F5-A67C-B79F46DA6926}" destId="{937FF9FD-2B28-4F57-BC0F-C5C9E224D28F}" srcOrd="2" destOrd="0" presId="urn:microsoft.com/office/officeart/2008/layout/LinedList"/>
    <dgm:cxn modelId="{9D63C166-5E37-4ED1-818D-A466F3A4F286}" type="presParOf" srcId="{9111359C-D1A5-4225-9F1F-1E3D61ACAA9C}" destId="{8DC3787E-6B70-4376-8725-80E9C9FB7931}" srcOrd="8" destOrd="0" presId="urn:microsoft.com/office/officeart/2008/layout/LinedList"/>
    <dgm:cxn modelId="{DDA1332A-AE87-4C99-910E-148038A09E30}" type="presParOf" srcId="{9111359C-D1A5-4225-9F1F-1E3D61ACAA9C}" destId="{4EC918A7-B9F3-4B37-8482-72E50ABD95BD}" srcOrd="9" destOrd="0" presId="urn:microsoft.com/office/officeart/2008/layout/LinedList"/>
    <dgm:cxn modelId="{851889ED-76AB-4F97-9848-EF501D29A235}" type="presParOf" srcId="{9111359C-D1A5-4225-9F1F-1E3D61ACAA9C}" destId="{5FD74720-B43F-4491-AD52-E039C1765CB2}" srcOrd="10" destOrd="0" presId="urn:microsoft.com/office/officeart/2008/layout/LinedList"/>
    <dgm:cxn modelId="{0AAD550E-22CD-45E5-90FE-499FF1C499C4}" type="presParOf" srcId="{5FD74720-B43F-4491-AD52-E039C1765CB2}" destId="{35B33C26-1492-4881-B756-7FDB2454EE31}" srcOrd="0" destOrd="0" presId="urn:microsoft.com/office/officeart/2008/layout/LinedList"/>
    <dgm:cxn modelId="{E57A104D-C940-474D-A247-B814EF840C72}" type="presParOf" srcId="{5FD74720-B43F-4491-AD52-E039C1765CB2}" destId="{11EC4893-6E47-4253-8ED4-4CCF14947E7D}" srcOrd="1" destOrd="0" presId="urn:microsoft.com/office/officeart/2008/layout/LinedList"/>
    <dgm:cxn modelId="{253C8ABC-610E-4A6E-A45F-ED4744D253D2}" type="presParOf" srcId="{5FD74720-B43F-4491-AD52-E039C1765CB2}" destId="{51FA7C3C-0550-49DA-AC8C-ECE8E63AE33E}" srcOrd="2" destOrd="0" presId="urn:microsoft.com/office/officeart/2008/layout/LinedList"/>
    <dgm:cxn modelId="{CEEE5DD1-15D8-4F64-AFD3-25C5DA2491A3}" type="presParOf" srcId="{9111359C-D1A5-4225-9F1F-1E3D61ACAA9C}" destId="{3564221C-8D25-4E79-951A-E06137BF560A}" srcOrd="11" destOrd="0" presId="urn:microsoft.com/office/officeart/2008/layout/LinedList"/>
    <dgm:cxn modelId="{DD237A94-5406-4C10-9AC1-B071B8341485}" type="presParOf" srcId="{9111359C-D1A5-4225-9F1F-1E3D61ACAA9C}" destId="{C3C6987D-6275-44CF-B896-50E686F09F2A}" srcOrd="12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F4EE77DC-EB40-492E-932C-703FC967065B}" type="doc">
      <dgm:prSet loTypeId="urn:microsoft.com/office/officeart/2008/layout/LinedList" loCatId="list" qsTypeId="urn:microsoft.com/office/officeart/2005/8/quickstyle/simple2" qsCatId="simple" csTypeId="urn:microsoft.com/office/officeart/2005/8/colors/colorful2" csCatId="colorful" phldr="1"/>
      <dgm:spPr/>
      <dgm:t>
        <a:bodyPr/>
        <a:lstStyle/>
        <a:p>
          <a:endParaRPr kumimoji="1" lang="ja-JP" altLang="en-US"/>
        </a:p>
      </dgm:t>
    </dgm:pt>
    <dgm:pt modelId="{EBCD04F8-24C4-40FB-8112-57D0ED462094}">
      <dgm:prSet phldrT="[텍스트]"/>
      <dgm:spPr/>
      <dgm:t>
        <a:bodyPr/>
        <a:lstStyle/>
        <a:p>
          <a:r>
            <a:rPr kumimoji="1" lang="en-US" altLang="ko-KR"/>
            <a:t>Planner</a:t>
          </a:r>
          <a:r>
            <a:rPr kumimoji="1" lang="ko-KR" altLang="en-US"/>
            <a:t> </a:t>
          </a:r>
          <a:r>
            <a:rPr kumimoji="1" lang="en-US" altLang="ko-KR"/>
            <a:t>v1.2</a:t>
          </a:r>
          <a:endParaRPr kumimoji="1" lang="ja-JP" altLang="en-US"/>
        </a:p>
      </dgm:t>
    </dgm:pt>
    <dgm:pt modelId="{58CC2B3D-9DF8-471B-BB08-0B0474B0E2E9}" type="parTrans" cxnId="{F79AEC11-6BBD-4257-9FC2-4494FAA0B09E}">
      <dgm:prSet/>
      <dgm:spPr/>
      <dgm:t>
        <a:bodyPr/>
        <a:lstStyle/>
        <a:p>
          <a:endParaRPr kumimoji="1" lang="ja-JP" altLang="en-US"/>
        </a:p>
      </dgm:t>
    </dgm:pt>
    <dgm:pt modelId="{74D44B0C-04A3-4E9E-B46E-64B41DDCF02C}" type="sibTrans" cxnId="{F79AEC11-6BBD-4257-9FC2-4494FAA0B09E}">
      <dgm:prSet/>
      <dgm:spPr/>
      <dgm:t>
        <a:bodyPr/>
        <a:lstStyle/>
        <a:p>
          <a:endParaRPr kumimoji="1" lang="ja-JP" altLang="en-US"/>
        </a:p>
      </dgm:t>
    </dgm:pt>
    <dgm:pt modelId="{13C70A27-1B7D-4EC1-8FC1-3D76C3771E8E}">
      <dgm:prSet phldrT="[텍스트]"/>
      <dgm:spPr/>
      <dgm:t>
        <a:bodyPr/>
        <a:lstStyle/>
        <a:p>
          <a:r>
            <a:rPr kumimoji="1" lang="ko-KR" altLang="en-US"/>
            <a:t>일기 시트를 메모장</a:t>
          </a:r>
          <a:r>
            <a:rPr kumimoji="1" lang="en-US" altLang="en-US"/>
            <a:t>/PPT </a:t>
          </a:r>
          <a:r>
            <a:rPr kumimoji="1" lang="ko-KR" altLang="en-US"/>
            <a:t>중 하나에 선택해서 옮기는 기능</a:t>
          </a:r>
          <a:endParaRPr kumimoji="1" lang="ja-JP" altLang="en-US"/>
        </a:p>
      </dgm:t>
    </dgm:pt>
    <dgm:pt modelId="{0809E219-6F0E-4D42-A92A-86BDC9917F06}" type="parTrans" cxnId="{81D0862E-56A8-40E2-8495-E7EBDB5E5BF3}">
      <dgm:prSet/>
      <dgm:spPr/>
      <dgm:t>
        <a:bodyPr/>
        <a:lstStyle/>
        <a:p>
          <a:endParaRPr kumimoji="1" lang="ja-JP" altLang="en-US"/>
        </a:p>
      </dgm:t>
    </dgm:pt>
    <dgm:pt modelId="{6CF9CC07-BC0C-4A9A-BE52-3DBE5F6464D7}" type="sibTrans" cxnId="{81D0862E-56A8-40E2-8495-E7EBDB5E5BF3}">
      <dgm:prSet/>
      <dgm:spPr/>
      <dgm:t>
        <a:bodyPr/>
        <a:lstStyle/>
        <a:p>
          <a:endParaRPr kumimoji="1" lang="ja-JP" altLang="en-US"/>
        </a:p>
      </dgm:t>
    </dgm:pt>
    <dgm:pt modelId="{7155CF3E-C5CF-4DFA-8702-5C64A16801D4}">
      <dgm:prSet phldrT="[텍스트]"/>
      <dgm:spPr/>
      <dgm:t>
        <a:bodyPr/>
        <a:lstStyle/>
        <a:p>
          <a:r>
            <a:rPr kumimoji="1" lang="ko-KR" altLang="en-US"/>
            <a:t>프린트 기능 </a:t>
          </a:r>
          <a:r>
            <a:rPr kumimoji="1" lang="en-US" altLang="ko-KR"/>
            <a:t>(</a:t>
          </a:r>
          <a:r>
            <a:rPr kumimoji="1" lang="ko-KR" altLang="en-US"/>
            <a:t>프린트 시 한페이지로 나오게끔 적절한 레이아웃 설정하는 법</a:t>
          </a:r>
          <a:r>
            <a:rPr kumimoji="1" lang="en-US" altLang="ko-KR"/>
            <a:t>)</a:t>
          </a:r>
          <a:endParaRPr kumimoji="1" lang="ja-JP" altLang="en-US"/>
        </a:p>
      </dgm:t>
    </dgm:pt>
    <dgm:pt modelId="{4CD9DB51-95D7-4AAA-BB4A-FDB30ED48206}" type="parTrans" cxnId="{058EEB18-018E-4C00-AE6C-D98AD6706397}">
      <dgm:prSet/>
      <dgm:spPr/>
      <dgm:t>
        <a:bodyPr/>
        <a:lstStyle/>
        <a:p>
          <a:endParaRPr kumimoji="1" lang="ja-JP" altLang="en-US"/>
        </a:p>
      </dgm:t>
    </dgm:pt>
    <dgm:pt modelId="{503CDF02-E386-4DA9-A286-1D85782D3A31}" type="sibTrans" cxnId="{058EEB18-018E-4C00-AE6C-D98AD6706397}">
      <dgm:prSet/>
      <dgm:spPr/>
      <dgm:t>
        <a:bodyPr/>
        <a:lstStyle/>
        <a:p>
          <a:endParaRPr kumimoji="1" lang="ja-JP" altLang="en-US"/>
        </a:p>
      </dgm:t>
    </dgm:pt>
    <dgm:pt modelId="{DC284653-1538-45F6-97EC-A462F154DAAB}">
      <dgm:prSet phldrT="[텍스트]"/>
      <dgm:spPr/>
      <dgm:t>
        <a:bodyPr/>
        <a:lstStyle/>
        <a:p>
          <a:r>
            <a:rPr kumimoji="1" lang="ko-KR" altLang="en-US"/>
            <a:t>배치를 통해서 엑셀을 프로그램화 하기</a:t>
          </a:r>
          <a:endParaRPr kumimoji="1" lang="ja-JP" altLang="en-US"/>
        </a:p>
      </dgm:t>
    </dgm:pt>
    <dgm:pt modelId="{8D979BEB-E7B1-4BAB-9F41-F9A1488882E7}" type="parTrans" cxnId="{10EF29D2-323D-4E3E-A354-5069E2E0E85D}">
      <dgm:prSet/>
      <dgm:spPr/>
      <dgm:t>
        <a:bodyPr/>
        <a:lstStyle/>
        <a:p>
          <a:endParaRPr kumimoji="1" lang="ja-JP" altLang="en-US"/>
        </a:p>
      </dgm:t>
    </dgm:pt>
    <dgm:pt modelId="{DE98B754-940E-48A1-84EB-AA6902BB136C}" type="sibTrans" cxnId="{10EF29D2-323D-4E3E-A354-5069E2E0E85D}">
      <dgm:prSet/>
      <dgm:spPr/>
      <dgm:t>
        <a:bodyPr/>
        <a:lstStyle/>
        <a:p>
          <a:endParaRPr kumimoji="1" lang="ja-JP" altLang="en-US"/>
        </a:p>
      </dgm:t>
    </dgm:pt>
    <dgm:pt modelId="{35888FBE-8C67-4263-8FC1-647547BBE02D}">
      <dgm:prSet phldrT="[텍스트]"/>
      <dgm:spPr/>
      <dgm:t>
        <a:bodyPr/>
        <a:lstStyle/>
        <a:p>
          <a:r>
            <a:rPr kumimoji="1" lang="ko-KR" altLang="en-US"/>
            <a:t>일정</a:t>
          </a:r>
          <a:r>
            <a:rPr kumimoji="1" lang="en-US" altLang="en-US"/>
            <a:t>/</a:t>
          </a:r>
          <a:r>
            <a:rPr kumimoji="1" lang="ko-KR" altLang="en-US"/>
            <a:t>일보 등의 메일 발송 기능 </a:t>
          </a:r>
          <a:r>
            <a:rPr kumimoji="1" lang="en-US" altLang="en-US"/>
            <a:t>(</a:t>
          </a:r>
          <a:r>
            <a:rPr kumimoji="1" lang="ko-KR" altLang="en-US"/>
            <a:t>타 엑셀로 이동케끔 해야함</a:t>
          </a:r>
          <a:r>
            <a:rPr kumimoji="1" lang="en-US" altLang="en-US"/>
            <a:t>)</a:t>
          </a:r>
          <a:endParaRPr kumimoji="1" lang="ja-JP" altLang="en-US"/>
        </a:p>
      </dgm:t>
    </dgm:pt>
    <dgm:pt modelId="{ED4981E5-6A00-431D-855A-60AFEB2D800A}" type="parTrans" cxnId="{C0A16AC9-87E8-4C0E-BC33-9027C4EBB6DF}">
      <dgm:prSet/>
      <dgm:spPr/>
      <dgm:t>
        <a:bodyPr/>
        <a:lstStyle/>
        <a:p>
          <a:endParaRPr kumimoji="1" lang="ja-JP" altLang="en-US"/>
        </a:p>
      </dgm:t>
    </dgm:pt>
    <dgm:pt modelId="{47964654-2572-46DE-A19C-3D1925501C53}" type="sibTrans" cxnId="{C0A16AC9-87E8-4C0E-BC33-9027C4EBB6DF}">
      <dgm:prSet/>
      <dgm:spPr/>
      <dgm:t>
        <a:bodyPr/>
        <a:lstStyle/>
        <a:p>
          <a:endParaRPr kumimoji="1" lang="ja-JP" altLang="en-US"/>
        </a:p>
      </dgm:t>
    </dgm:pt>
    <dgm:pt modelId="{B9DBDD7A-1784-4F75-9556-2CE50F32B3D9}">
      <dgm:prSet phldrT="[텍스트]"/>
      <dgm:spPr/>
      <dgm:t>
        <a:bodyPr/>
        <a:lstStyle/>
        <a:p>
          <a:r>
            <a:rPr kumimoji="1" lang="ko-KR" altLang="en-US"/>
            <a:t>챠트 자동생성 기능</a:t>
          </a:r>
          <a:endParaRPr kumimoji="1" lang="ja-JP" altLang="en-US"/>
        </a:p>
      </dgm:t>
    </dgm:pt>
    <dgm:pt modelId="{3604E1E1-2087-4488-949E-256957385EC2}" type="parTrans" cxnId="{2F2C7EA0-3FC9-4BE9-9D36-78C4D8897CB8}">
      <dgm:prSet/>
      <dgm:spPr/>
      <dgm:t>
        <a:bodyPr/>
        <a:lstStyle/>
        <a:p>
          <a:endParaRPr kumimoji="1" lang="ja-JP" altLang="en-US"/>
        </a:p>
      </dgm:t>
    </dgm:pt>
    <dgm:pt modelId="{11946150-505A-4EED-9E0A-080CF63B7199}" type="sibTrans" cxnId="{2F2C7EA0-3FC9-4BE9-9D36-78C4D8897CB8}">
      <dgm:prSet/>
      <dgm:spPr/>
      <dgm:t>
        <a:bodyPr/>
        <a:lstStyle/>
        <a:p>
          <a:endParaRPr kumimoji="1" lang="ja-JP" altLang="en-US"/>
        </a:p>
      </dgm:t>
    </dgm:pt>
    <dgm:pt modelId="{09B26D14-ADD5-45D5-99AA-E25E2071A8EE}">
      <dgm:prSet phldrT="[텍스트]"/>
      <dgm:spPr/>
      <dgm:t>
        <a:bodyPr/>
        <a:lstStyle/>
        <a:p>
          <a:r>
            <a:rPr kumimoji="1" lang="ko-KR" altLang="en-US"/>
            <a:t>단어 학습 기능 </a:t>
          </a:r>
          <a:r>
            <a:rPr kumimoji="1" lang="en-US" altLang="ko-KR"/>
            <a:t>(</a:t>
          </a:r>
          <a:r>
            <a:rPr kumimoji="1" lang="ko-KR" altLang="en-US"/>
            <a:t>타 파일에 만들고 연계시키기</a:t>
          </a:r>
          <a:r>
            <a:rPr kumimoji="1" lang="en-US" altLang="ko-KR"/>
            <a:t>) - TTS</a:t>
          </a:r>
          <a:r>
            <a:rPr kumimoji="1" lang="ko-KR" altLang="en-US"/>
            <a:t>로 읽기 기능도 추가하기</a:t>
          </a:r>
          <a:endParaRPr kumimoji="1" lang="ja-JP" altLang="en-US"/>
        </a:p>
      </dgm:t>
    </dgm:pt>
    <dgm:pt modelId="{2D342289-167C-4FB6-A0FB-BEF3B7987EBC}" type="parTrans" cxnId="{136164CA-F6CE-4EDE-B490-1A3737EF89DB}">
      <dgm:prSet/>
      <dgm:spPr/>
      <dgm:t>
        <a:bodyPr/>
        <a:lstStyle/>
        <a:p>
          <a:endParaRPr kumimoji="1" lang="ja-JP" altLang="en-US"/>
        </a:p>
      </dgm:t>
    </dgm:pt>
    <dgm:pt modelId="{39D87BD1-26ED-4B47-9910-B7BF3C09B96E}" type="sibTrans" cxnId="{136164CA-F6CE-4EDE-B490-1A3737EF89DB}">
      <dgm:prSet/>
      <dgm:spPr/>
      <dgm:t>
        <a:bodyPr/>
        <a:lstStyle/>
        <a:p>
          <a:endParaRPr kumimoji="1" lang="ja-JP" altLang="en-US"/>
        </a:p>
      </dgm:t>
    </dgm:pt>
    <dgm:pt modelId="{EC809AD2-82B5-4B5E-9948-D08634659774}">
      <dgm:prSet phldrT="[텍스트]"/>
      <dgm:spPr/>
      <dgm:t>
        <a:bodyPr/>
        <a:lstStyle/>
        <a:p>
          <a:r>
            <a:rPr kumimoji="1" lang="ko-KR" altLang="en-US"/>
            <a:t>날씨 기능 </a:t>
          </a:r>
          <a:r>
            <a:rPr kumimoji="1" lang="en-US" altLang="ko-KR"/>
            <a:t>(</a:t>
          </a:r>
          <a:r>
            <a:rPr kumimoji="1" lang="ko-KR" altLang="en-US"/>
            <a:t>무거워져서 타 파일에 만들고 연계</a:t>
          </a:r>
          <a:r>
            <a:rPr kumimoji="1" lang="en-US" altLang="ko-KR"/>
            <a:t>)</a:t>
          </a:r>
          <a:endParaRPr kumimoji="1" lang="ja-JP" altLang="en-US"/>
        </a:p>
      </dgm:t>
    </dgm:pt>
    <dgm:pt modelId="{881823FC-E1C0-4CC2-A5CB-4B0B6E9F1026}" type="parTrans" cxnId="{162D1B4B-94C3-49F9-8187-A3B34A2CFCD5}">
      <dgm:prSet/>
      <dgm:spPr/>
      <dgm:t>
        <a:bodyPr/>
        <a:lstStyle/>
        <a:p>
          <a:endParaRPr kumimoji="1" lang="ja-JP" altLang="en-US"/>
        </a:p>
      </dgm:t>
    </dgm:pt>
    <dgm:pt modelId="{00496603-2238-4B43-851D-CB8C424E6241}" type="sibTrans" cxnId="{162D1B4B-94C3-49F9-8187-A3B34A2CFCD5}">
      <dgm:prSet/>
      <dgm:spPr/>
      <dgm:t>
        <a:bodyPr/>
        <a:lstStyle/>
        <a:p>
          <a:endParaRPr kumimoji="1" lang="ja-JP" altLang="en-US"/>
        </a:p>
      </dgm:t>
    </dgm:pt>
    <dgm:pt modelId="{E3CE0DDE-8339-4B1D-9D79-F65C6B0F445C}">
      <dgm:prSet phldrT="[텍스트]"/>
      <dgm:spPr/>
      <dgm:t>
        <a:bodyPr/>
        <a:lstStyle/>
        <a:p>
          <a:r>
            <a:rPr kumimoji="1" lang="ko-KR" altLang="en-US"/>
            <a:t>달력으로 이동</a:t>
          </a:r>
          <a:endParaRPr kumimoji="1" lang="ja-JP" altLang="en-US"/>
        </a:p>
      </dgm:t>
    </dgm:pt>
    <dgm:pt modelId="{4B0252E3-13D8-419A-A64E-C1224AAC6D8B}" type="parTrans" cxnId="{F795624C-73BE-4342-9F22-E218647D5CF3}">
      <dgm:prSet/>
      <dgm:spPr/>
      <dgm:t>
        <a:bodyPr/>
        <a:lstStyle/>
        <a:p>
          <a:endParaRPr kumimoji="1" lang="ja-JP" altLang="en-US"/>
        </a:p>
      </dgm:t>
    </dgm:pt>
    <dgm:pt modelId="{A16D269D-0EC1-43F0-A8D6-E97A49225E16}" type="sibTrans" cxnId="{F795624C-73BE-4342-9F22-E218647D5CF3}">
      <dgm:prSet/>
      <dgm:spPr/>
      <dgm:t>
        <a:bodyPr/>
        <a:lstStyle/>
        <a:p>
          <a:endParaRPr kumimoji="1" lang="ja-JP" altLang="en-US"/>
        </a:p>
      </dgm:t>
    </dgm:pt>
    <dgm:pt modelId="{E4529FB5-53FE-41D1-BAB9-BBD778D83E2A}">
      <dgm:prSet phldrT="[텍스트]"/>
      <dgm:spPr/>
      <dgm:t>
        <a:bodyPr/>
        <a:lstStyle/>
        <a:p>
          <a:r>
            <a:rPr kumimoji="1" lang="ko-KR" altLang="en-US"/>
            <a:t>일본어</a:t>
          </a:r>
          <a:r>
            <a:rPr kumimoji="1" lang="en-US" altLang="ko-KR"/>
            <a:t>/</a:t>
          </a:r>
          <a:r>
            <a:rPr kumimoji="1" lang="ko-KR" altLang="en-US"/>
            <a:t>영어</a:t>
          </a:r>
          <a:r>
            <a:rPr kumimoji="1" lang="en-US" altLang="ko-KR"/>
            <a:t>/</a:t>
          </a:r>
          <a:r>
            <a:rPr kumimoji="1" lang="ko-KR" altLang="en-US"/>
            <a:t>한국어판 제작 </a:t>
          </a:r>
          <a:r>
            <a:rPr kumimoji="1" lang="en-US" altLang="ko-KR"/>
            <a:t>(</a:t>
          </a:r>
          <a:r>
            <a:rPr kumimoji="1" lang="ko-KR" altLang="en-US"/>
            <a:t>코드는 비번 걸어두기</a:t>
          </a:r>
          <a:r>
            <a:rPr kumimoji="1" lang="en-US" altLang="ko-KR"/>
            <a:t>) : </a:t>
          </a:r>
          <a:r>
            <a:rPr kumimoji="1" lang="ko-KR" altLang="en-US"/>
            <a:t>상업용 프로젝트로도 제작</a:t>
          </a:r>
          <a:endParaRPr kumimoji="1" lang="ja-JP" altLang="en-US"/>
        </a:p>
      </dgm:t>
    </dgm:pt>
    <dgm:pt modelId="{4B4331E3-345B-4784-930F-BB20571E5377}" type="parTrans" cxnId="{F8BE6C56-ACA4-49D0-B986-DD9546DA1107}">
      <dgm:prSet/>
      <dgm:spPr/>
      <dgm:t>
        <a:bodyPr/>
        <a:lstStyle/>
        <a:p>
          <a:endParaRPr kumimoji="1" lang="ja-JP" altLang="en-US"/>
        </a:p>
      </dgm:t>
    </dgm:pt>
    <dgm:pt modelId="{FBD8C18A-EF89-456B-BD52-AA2187ED0A68}" type="sibTrans" cxnId="{F8BE6C56-ACA4-49D0-B986-DD9546DA1107}">
      <dgm:prSet/>
      <dgm:spPr/>
      <dgm:t>
        <a:bodyPr/>
        <a:lstStyle/>
        <a:p>
          <a:endParaRPr kumimoji="1" lang="ja-JP" altLang="en-US"/>
        </a:p>
      </dgm:t>
    </dgm:pt>
    <dgm:pt modelId="{4D05F659-29A4-4E33-A741-47E729958ADE}" type="pres">
      <dgm:prSet presAssocID="{F4EE77DC-EB40-492E-932C-703FC967065B}" presName="vert0" presStyleCnt="0">
        <dgm:presLayoutVars>
          <dgm:dir/>
          <dgm:animOne val="branch"/>
          <dgm:animLvl val="lvl"/>
        </dgm:presLayoutVars>
      </dgm:prSet>
      <dgm:spPr/>
    </dgm:pt>
    <dgm:pt modelId="{CBFD0241-7754-41D6-8149-1C2C0EF1E954}" type="pres">
      <dgm:prSet presAssocID="{EBCD04F8-24C4-40FB-8112-57D0ED462094}" presName="thickLine" presStyleLbl="alignNode1" presStyleIdx="0" presStyleCnt="1"/>
      <dgm:spPr/>
    </dgm:pt>
    <dgm:pt modelId="{978314B5-526F-4694-8C1B-2D9C645C5061}" type="pres">
      <dgm:prSet presAssocID="{EBCD04F8-24C4-40FB-8112-57D0ED462094}" presName="horz1" presStyleCnt="0"/>
      <dgm:spPr/>
    </dgm:pt>
    <dgm:pt modelId="{C51890F6-E91C-4BD0-9437-8BA8898DF2F3}" type="pres">
      <dgm:prSet presAssocID="{EBCD04F8-24C4-40FB-8112-57D0ED462094}" presName="tx1" presStyleLbl="revTx" presStyleIdx="0" presStyleCnt="10"/>
      <dgm:spPr/>
    </dgm:pt>
    <dgm:pt modelId="{9111359C-D1A5-4225-9F1F-1E3D61ACAA9C}" type="pres">
      <dgm:prSet presAssocID="{EBCD04F8-24C4-40FB-8112-57D0ED462094}" presName="vert1" presStyleCnt="0"/>
      <dgm:spPr/>
    </dgm:pt>
    <dgm:pt modelId="{43A2B18E-1003-4E55-83B5-754E59679E95}" type="pres">
      <dgm:prSet presAssocID="{13C70A27-1B7D-4EC1-8FC1-3D76C3771E8E}" presName="vertSpace2a" presStyleCnt="0"/>
      <dgm:spPr/>
    </dgm:pt>
    <dgm:pt modelId="{5AEA97E1-42A2-49B8-829A-6C4C24A428DF}" type="pres">
      <dgm:prSet presAssocID="{13C70A27-1B7D-4EC1-8FC1-3D76C3771E8E}" presName="horz2" presStyleCnt="0"/>
      <dgm:spPr/>
    </dgm:pt>
    <dgm:pt modelId="{9B4E62B7-5DC7-4113-875C-30E76F6E4DDF}" type="pres">
      <dgm:prSet presAssocID="{13C70A27-1B7D-4EC1-8FC1-3D76C3771E8E}" presName="horzSpace2" presStyleCnt="0"/>
      <dgm:spPr/>
    </dgm:pt>
    <dgm:pt modelId="{59C14F34-CC7C-46CD-A55E-76954306485E}" type="pres">
      <dgm:prSet presAssocID="{13C70A27-1B7D-4EC1-8FC1-3D76C3771E8E}" presName="tx2" presStyleLbl="revTx" presStyleIdx="1" presStyleCnt="10"/>
      <dgm:spPr/>
    </dgm:pt>
    <dgm:pt modelId="{73975614-C869-4C6C-B2D5-EC68DEF7145C}" type="pres">
      <dgm:prSet presAssocID="{13C70A27-1B7D-4EC1-8FC1-3D76C3771E8E}" presName="vert2" presStyleCnt="0"/>
      <dgm:spPr/>
    </dgm:pt>
    <dgm:pt modelId="{4ADA647B-7BB6-4B54-8BBF-A23D87E69785}" type="pres">
      <dgm:prSet presAssocID="{13C70A27-1B7D-4EC1-8FC1-3D76C3771E8E}" presName="thinLine2b" presStyleLbl="callout" presStyleIdx="0" presStyleCnt="9"/>
      <dgm:spPr/>
    </dgm:pt>
    <dgm:pt modelId="{AB3C9049-4517-4D7B-BA57-75EB7F40333C}" type="pres">
      <dgm:prSet presAssocID="{13C70A27-1B7D-4EC1-8FC1-3D76C3771E8E}" presName="vertSpace2b" presStyleCnt="0"/>
      <dgm:spPr/>
    </dgm:pt>
    <dgm:pt modelId="{9DEB8290-39BB-4886-88C3-3713B367AB6E}" type="pres">
      <dgm:prSet presAssocID="{7155CF3E-C5CF-4DFA-8702-5C64A16801D4}" presName="horz2" presStyleCnt="0"/>
      <dgm:spPr/>
    </dgm:pt>
    <dgm:pt modelId="{62990BF1-020A-4250-84F0-7E82C476A170}" type="pres">
      <dgm:prSet presAssocID="{7155CF3E-C5CF-4DFA-8702-5C64A16801D4}" presName="horzSpace2" presStyleCnt="0"/>
      <dgm:spPr/>
    </dgm:pt>
    <dgm:pt modelId="{709DBEEE-0063-4797-AB2D-D01A5B16ECB9}" type="pres">
      <dgm:prSet presAssocID="{7155CF3E-C5CF-4DFA-8702-5C64A16801D4}" presName="tx2" presStyleLbl="revTx" presStyleIdx="2" presStyleCnt="10"/>
      <dgm:spPr/>
    </dgm:pt>
    <dgm:pt modelId="{DCDDA18A-85D9-49C8-A451-E1331DD67A9A}" type="pres">
      <dgm:prSet presAssocID="{7155CF3E-C5CF-4DFA-8702-5C64A16801D4}" presName="vert2" presStyleCnt="0"/>
      <dgm:spPr/>
    </dgm:pt>
    <dgm:pt modelId="{9648A7C0-114D-4F8E-9524-F9A95A02506D}" type="pres">
      <dgm:prSet presAssocID="{7155CF3E-C5CF-4DFA-8702-5C64A16801D4}" presName="thinLine2b" presStyleLbl="callout" presStyleIdx="1" presStyleCnt="9"/>
      <dgm:spPr/>
    </dgm:pt>
    <dgm:pt modelId="{C5971463-F5D1-4E91-9D1E-EB4361D1ADE4}" type="pres">
      <dgm:prSet presAssocID="{7155CF3E-C5CF-4DFA-8702-5C64A16801D4}" presName="vertSpace2b" presStyleCnt="0"/>
      <dgm:spPr/>
    </dgm:pt>
    <dgm:pt modelId="{0C24B1F7-00E5-4BD8-AD97-0228E1BAA07B}" type="pres">
      <dgm:prSet presAssocID="{DC284653-1538-45F6-97EC-A462F154DAAB}" presName="horz2" presStyleCnt="0"/>
      <dgm:spPr/>
    </dgm:pt>
    <dgm:pt modelId="{FF8FD651-4AD9-476F-8B55-EEB3B6F9790E}" type="pres">
      <dgm:prSet presAssocID="{DC284653-1538-45F6-97EC-A462F154DAAB}" presName="horzSpace2" presStyleCnt="0"/>
      <dgm:spPr/>
    </dgm:pt>
    <dgm:pt modelId="{603D8171-62EB-415F-AFAE-FE186D2489F6}" type="pres">
      <dgm:prSet presAssocID="{DC284653-1538-45F6-97EC-A462F154DAAB}" presName="tx2" presStyleLbl="revTx" presStyleIdx="3" presStyleCnt="10"/>
      <dgm:spPr/>
    </dgm:pt>
    <dgm:pt modelId="{D9793BCB-E68F-420F-8B37-D715F2100069}" type="pres">
      <dgm:prSet presAssocID="{DC284653-1538-45F6-97EC-A462F154DAAB}" presName="vert2" presStyleCnt="0"/>
      <dgm:spPr/>
    </dgm:pt>
    <dgm:pt modelId="{BCEF9E99-22C8-4B1F-8819-F4F045991388}" type="pres">
      <dgm:prSet presAssocID="{DC284653-1538-45F6-97EC-A462F154DAAB}" presName="thinLine2b" presStyleLbl="callout" presStyleIdx="2" presStyleCnt="9"/>
      <dgm:spPr/>
    </dgm:pt>
    <dgm:pt modelId="{2146122C-3E37-4B89-A3AA-2EE3E2B0C920}" type="pres">
      <dgm:prSet presAssocID="{DC284653-1538-45F6-97EC-A462F154DAAB}" presName="vertSpace2b" presStyleCnt="0"/>
      <dgm:spPr/>
    </dgm:pt>
    <dgm:pt modelId="{218624E1-95B1-41E2-889A-B0F4E2A66154}" type="pres">
      <dgm:prSet presAssocID="{35888FBE-8C67-4263-8FC1-647547BBE02D}" presName="horz2" presStyleCnt="0"/>
      <dgm:spPr/>
    </dgm:pt>
    <dgm:pt modelId="{701CFBD6-73F7-4C1B-9EDA-010764875749}" type="pres">
      <dgm:prSet presAssocID="{35888FBE-8C67-4263-8FC1-647547BBE02D}" presName="horzSpace2" presStyleCnt="0"/>
      <dgm:spPr/>
    </dgm:pt>
    <dgm:pt modelId="{9C63EF3F-FE76-42D0-A2A3-318BEB274BD4}" type="pres">
      <dgm:prSet presAssocID="{35888FBE-8C67-4263-8FC1-647547BBE02D}" presName="tx2" presStyleLbl="revTx" presStyleIdx="4" presStyleCnt="10"/>
      <dgm:spPr/>
    </dgm:pt>
    <dgm:pt modelId="{0D30E0E3-73EC-4209-B12C-05C56E38892D}" type="pres">
      <dgm:prSet presAssocID="{35888FBE-8C67-4263-8FC1-647547BBE02D}" presName="vert2" presStyleCnt="0"/>
      <dgm:spPr/>
    </dgm:pt>
    <dgm:pt modelId="{90F82499-EFF3-4BC7-86BF-37B6F1DC1C64}" type="pres">
      <dgm:prSet presAssocID="{35888FBE-8C67-4263-8FC1-647547BBE02D}" presName="thinLine2b" presStyleLbl="callout" presStyleIdx="3" presStyleCnt="9"/>
      <dgm:spPr/>
    </dgm:pt>
    <dgm:pt modelId="{DB5DAE5D-DA5F-4331-9770-F7D6FD13932F}" type="pres">
      <dgm:prSet presAssocID="{35888FBE-8C67-4263-8FC1-647547BBE02D}" presName="vertSpace2b" presStyleCnt="0"/>
      <dgm:spPr/>
    </dgm:pt>
    <dgm:pt modelId="{5FD74720-B43F-4491-AD52-E039C1765CB2}" type="pres">
      <dgm:prSet presAssocID="{B9DBDD7A-1784-4F75-9556-2CE50F32B3D9}" presName="horz2" presStyleCnt="0"/>
      <dgm:spPr/>
    </dgm:pt>
    <dgm:pt modelId="{35B33C26-1492-4881-B756-7FDB2454EE31}" type="pres">
      <dgm:prSet presAssocID="{B9DBDD7A-1784-4F75-9556-2CE50F32B3D9}" presName="horzSpace2" presStyleCnt="0"/>
      <dgm:spPr/>
    </dgm:pt>
    <dgm:pt modelId="{11EC4893-6E47-4253-8ED4-4CCF14947E7D}" type="pres">
      <dgm:prSet presAssocID="{B9DBDD7A-1784-4F75-9556-2CE50F32B3D9}" presName="tx2" presStyleLbl="revTx" presStyleIdx="5" presStyleCnt="10"/>
      <dgm:spPr/>
    </dgm:pt>
    <dgm:pt modelId="{51FA7C3C-0550-49DA-AC8C-ECE8E63AE33E}" type="pres">
      <dgm:prSet presAssocID="{B9DBDD7A-1784-4F75-9556-2CE50F32B3D9}" presName="vert2" presStyleCnt="0"/>
      <dgm:spPr/>
    </dgm:pt>
    <dgm:pt modelId="{3564221C-8D25-4E79-951A-E06137BF560A}" type="pres">
      <dgm:prSet presAssocID="{B9DBDD7A-1784-4F75-9556-2CE50F32B3D9}" presName="thinLine2b" presStyleLbl="callout" presStyleIdx="4" presStyleCnt="9"/>
      <dgm:spPr/>
    </dgm:pt>
    <dgm:pt modelId="{C3C6987D-6275-44CF-B896-50E686F09F2A}" type="pres">
      <dgm:prSet presAssocID="{B9DBDD7A-1784-4F75-9556-2CE50F32B3D9}" presName="vertSpace2b" presStyleCnt="0"/>
      <dgm:spPr/>
    </dgm:pt>
    <dgm:pt modelId="{68AE85CC-B379-4F39-BB88-3705404757FF}" type="pres">
      <dgm:prSet presAssocID="{09B26D14-ADD5-45D5-99AA-E25E2071A8EE}" presName="horz2" presStyleCnt="0"/>
      <dgm:spPr/>
    </dgm:pt>
    <dgm:pt modelId="{94E579D2-6A01-47D9-A2D2-0F493D15F311}" type="pres">
      <dgm:prSet presAssocID="{09B26D14-ADD5-45D5-99AA-E25E2071A8EE}" presName="horzSpace2" presStyleCnt="0"/>
      <dgm:spPr/>
    </dgm:pt>
    <dgm:pt modelId="{6DD7812F-6DD9-4607-9AC7-7C1904384960}" type="pres">
      <dgm:prSet presAssocID="{09B26D14-ADD5-45D5-99AA-E25E2071A8EE}" presName="tx2" presStyleLbl="revTx" presStyleIdx="6" presStyleCnt="10"/>
      <dgm:spPr/>
    </dgm:pt>
    <dgm:pt modelId="{DAA7F586-A38B-47FE-ACEF-A7693FC6CD5B}" type="pres">
      <dgm:prSet presAssocID="{09B26D14-ADD5-45D5-99AA-E25E2071A8EE}" presName="vert2" presStyleCnt="0"/>
      <dgm:spPr/>
    </dgm:pt>
    <dgm:pt modelId="{B365D75A-1E00-45B2-81CD-CE7CD94E07A2}" type="pres">
      <dgm:prSet presAssocID="{09B26D14-ADD5-45D5-99AA-E25E2071A8EE}" presName="thinLine2b" presStyleLbl="callout" presStyleIdx="5" presStyleCnt="9"/>
      <dgm:spPr/>
    </dgm:pt>
    <dgm:pt modelId="{7FD316C7-95EB-448E-9779-61A61C041FF2}" type="pres">
      <dgm:prSet presAssocID="{09B26D14-ADD5-45D5-99AA-E25E2071A8EE}" presName="vertSpace2b" presStyleCnt="0"/>
      <dgm:spPr/>
    </dgm:pt>
    <dgm:pt modelId="{02BA1F63-CFA6-4A3D-9F03-CFE86E238E29}" type="pres">
      <dgm:prSet presAssocID="{EC809AD2-82B5-4B5E-9948-D08634659774}" presName="horz2" presStyleCnt="0"/>
      <dgm:spPr/>
    </dgm:pt>
    <dgm:pt modelId="{E83DB6F6-593F-48B3-BF01-8D4DFA692AB8}" type="pres">
      <dgm:prSet presAssocID="{EC809AD2-82B5-4B5E-9948-D08634659774}" presName="horzSpace2" presStyleCnt="0"/>
      <dgm:spPr/>
    </dgm:pt>
    <dgm:pt modelId="{08F037E6-0A89-4DCB-BC0C-8728E9463B47}" type="pres">
      <dgm:prSet presAssocID="{EC809AD2-82B5-4B5E-9948-D08634659774}" presName="tx2" presStyleLbl="revTx" presStyleIdx="7" presStyleCnt="10"/>
      <dgm:spPr/>
    </dgm:pt>
    <dgm:pt modelId="{3DCF056E-1534-4107-8C62-3C210F55B8E6}" type="pres">
      <dgm:prSet presAssocID="{EC809AD2-82B5-4B5E-9948-D08634659774}" presName="vert2" presStyleCnt="0"/>
      <dgm:spPr/>
    </dgm:pt>
    <dgm:pt modelId="{95F9F1D3-E3EE-42D3-840E-2EAC6F56E434}" type="pres">
      <dgm:prSet presAssocID="{EC809AD2-82B5-4B5E-9948-D08634659774}" presName="thinLine2b" presStyleLbl="callout" presStyleIdx="6" presStyleCnt="9"/>
      <dgm:spPr/>
    </dgm:pt>
    <dgm:pt modelId="{638A04BB-C918-48A7-A8D0-CE98652C2235}" type="pres">
      <dgm:prSet presAssocID="{EC809AD2-82B5-4B5E-9948-D08634659774}" presName="vertSpace2b" presStyleCnt="0"/>
      <dgm:spPr/>
    </dgm:pt>
    <dgm:pt modelId="{385F477A-E5D1-4943-8E7C-567212333A0A}" type="pres">
      <dgm:prSet presAssocID="{E3CE0DDE-8339-4B1D-9D79-F65C6B0F445C}" presName="horz2" presStyleCnt="0"/>
      <dgm:spPr/>
    </dgm:pt>
    <dgm:pt modelId="{8C8E1B59-7AB9-46B7-95AB-199D79FC7B50}" type="pres">
      <dgm:prSet presAssocID="{E3CE0DDE-8339-4B1D-9D79-F65C6B0F445C}" presName="horzSpace2" presStyleCnt="0"/>
      <dgm:spPr/>
    </dgm:pt>
    <dgm:pt modelId="{B0A75696-F49E-4045-9B81-1D55F1883AFE}" type="pres">
      <dgm:prSet presAssocID="{E3CE0DDE-8339-4B1D-9D79-F65C6B0F445C}" presName="tx2" presStyleLbl="revTx" presStyleIdx="8" presStyleCnt="10"/>
      <dgm:spPr/>
    </dgm:pt>
    <dgm:pt modelId="{1C6B5F8A-5F4C-4A41-9DF6-C518509A907D}" type="pres">
      <dgm:prSet presAssocID="{E3CE0DDE-8339-4B1D-9D79-F65C6B0F445C}" presName="vert2" presStyleCnt="0"/>
      <dgm:spPr/>
    </dgm:pt>
    <dgm:pt modelId="{87A5CA77-E190-4F0C-9AF6-DCC817573619}" type="pres">
      <dgm:prSet presAssocID="{E3CE0DDE-8339-4B1D-9D79-F65C6B0F445C}" presName="thinLine2b" presStyleLbl="callout" presStyleIdx="7" presStyleCnt="9"/>
      <dgm:spPr/>
    </dgm:pt>
    <dgm:pt modelId="{4B9463D5-F570-48C4-8F27-6753397877EA}" type="pres">
      <dgm:prSet presAssocID="{E3CE0DDE-8339-4B1D-9D79-F65C6B0F445C}" presName="vertSpace2b" presStyleCnt="0"/>
      <dgm:spPr/>
    </dgm:pt>
    <dgm:pt modelId="{7AA04707-F28C-4492-ABBA-3C68FA367025}" type="pres">
      <dgm:prSet presAssocID="{E4529FB5-53FE-41D1-BAB9-BBD778D83E2A}" presName="horz2" presStyleCnt="0"/>
      <dgm:spPr/>
    </dgm:pt>
    <dgm:pt modelId="{8CE096F6-D7FE-4F7F-8631-603A13DF38CB}" type="pres">
      <dgm:prSet presAssocID="{E4529FB5-53FE-41D1-BAB9-BBD778D83E2A}" presName="horzSpace2" presStyleCnt="0"/>
      <dgm:spPr/>
    </dgm:pt>
    <dgm:pt modelId="{6A0D3AEF-BD84-4C93-A82C-41D239E6E616}" type="pres">
      <dgm:prSet presAssocID="{E4529FB5-53FE-41D1-BAB9-BBD778D83E2A}" presName="tx2" presStyleLbl="revTx" presStyleIdx="9" presStyleCnt="10"/>
      <dgm:spPr/>
    </dgm:pt>
    <dgm:pt modelId="{A43C32EE-8A80-46D2-8F9A-DC95FD38E3A1}" type="pres">
      <dgm:prSet presAssocID="{E4529FB5-53FE-41D1-BAB9-BBD778D83E2A}" presName="vert2" presStyleCnt="0"/>
      <dgm:spPr/>
    </dgm:pt>
    <dgm:pt modelId="{297067C6-D55F-4AEE-8978-782DEBA26E84}" type="pres">
      <dgm:prSet presAssocID="{E4529FB5-53FE-41D1-BAB9-BBD778D83E2A}" presName="thinLine2b" presStyleLbl="callout" presStyleIdx="8" presStyleCnt="9"/>
      <dgm:spPr/>
    </dgm:pt>
    <dgm:pt modelId="{5D612AEB-CB37-41B9-9965-B4583D12A6E3}" type="pres">
      <dgm:prSet presAssocID="{E4529FB5-53FE-41D1-BAB9-BBD778D83E2A}" presName="vertSpace2b" presStyleCnt="0"/>
      <dgm:spPr/>
    </dgm:pt>
  </dgm:ptLst>
  <dgm:cxnLst>
    <dgm:cxn modelId="{F79AEC11-6BBD-4257-9FC2-4494FAA0B09E}" srcId="{F4EE77DC-EB40-492E-932C-703FC967065B}" destId="{EBCD04F8-24C4-40FB-8112-57D0ED462094}" srcOrd="0" destOrd="0" parTransId="{58CC2B3D-9DF8-471B-BB08-0B0474B0E2E9}" sibTransId="{74D44B0C-04A3-4E9E-B46E-64B41DDCF02C}"/>
    <dgm:cxn modelId="{058EEB18-018E-4C00-AE6C-D98AD6706397}" srcId="{EBCD04F8-24C4-40FB-8112-57D0ED462094}" destId="{7155CF3E-C5CF-4DFA-8702-5C64A16801D4}" srcOrd="1" destOrd="0" parTransId="{4CD9DB51-95D7-4AAA-BB4A-FDB30ED48206}" sibTransId="{503CDF02-E386-4DA9-A286-1D85782D3A31}"/>
    <dgm:cxn modelId="{81D0862E-56A8-40E2-8495-E7EBDB5E5BF3}" srcId="{EBCD04F8-24C4-40FB-8112-57D0ED462094}" destId="{13C70A27-1B7D-4EC1-8FC1-3D76C3771E8E}" srcOrd="0" destOrd="0" parTransId="{0809E219-6F0E-4D42-A92A-86BDC9917F06}" sibTransId="{6CF9CC07-BC0C-4A9A-BE52-3DBE5F6464D7}"/>
    <dgm:cxn modelId="{C4B2DF5F-4810-4C86-B63E-FEDB59B75AC3}" type="presOf" srcId="{B9DBDD7A-1784-4F75-9556-2CE50F32B3D9}" destId="{11EC4893-6E47-4253-8ED4-4CCF14947E7D}" srcOrd="0" destOrd="0" presId="urn:microsoft.com/office/officeart/2008/layout/LinedList"/>
    <dgm:cxn modelId="{162D1B4B-94C3-49F9-8187-A3B34A2CFCD5}" srcId="{EBCD04F8-24C4-40FB-8112-57D0ED462094}" destId="{EC809AD2-82B5-4B5E-9948-D08634659774}" srcOrd="6" destOrd="0" parTransId="{881823FC-E1C0-4CC2-A5CB-4B0B6E9F1026}" sibTransId="{00496603-2238-4B43-851D-CB8C424E6241}"/>
    <dgm:cxn modelId="{F795624C-73BE-4342-9F22-E218647D5CF3}" srcId="{EBCD04F8-24C4-40FB-8112-57D0ED462094}" destId="{E3CE0DDE-8339-4B1D-9D79-F65C6B0F445C}" srcOrd="7" destOrd="0" parTransId="{4B0252E3-13D8-419A-A64E-C1224AAC6D8B}" sibTransId="{A16D269D-0EC1-43F0-A8D6-E97A49225E16}"/>
    <dgm:cxn modelId="{F8BE6C56-ACA4-49D0-B986-DD9546DA1107}" srcId="{EBCD04F8-24C4-40FB-8112-57D0ED462094}" destId="{E4529FB5-53FE-41D1-BAB9-BBD778D83E2A}" srcOrd="8" destOrd="0" parTransId="{4B4331E3-345B-4784-930F-BB20571E5377}" sibTransId="{FBD8C18A-EF89-456B-BD52-AA2187ED0A68}"/>
    <dgm:cxn modelId="{2558C07F-73C3-47C6-A276-00CA884EA805}" type="presOf" srcId="{E4529FB5-53FE-41D1-BAB9-BBD778D83E2A}" destId="{6A0D3AEF-BD84-4C93-A82C-41D239E6E616}" srcOrd="0" destOrd="0" presId="urn:microsoft.com/office/officeart/2008/layout/LinedList"/>
    <dgm:cxn modelId="{B5CA3A8C-E0B5-49C0-827C-2742D4782348}" type="presOf" srcId="{F4EE77DC-EB40-492E-932C-703FC967065B}" destId="{4D05F659-29A4-4E33-A741-47E729958ADE}" srcOrd="0" destOrd="0" presId="urn:microsoft.com/office/officeart/2008/layout/LinedList"/>
    <dgm:cxn modelId="{2F2C7EA0-3FC9-4BE9-9D36-78C4D8897CB8}" srcId="{EBCD04F8-24C4-40FB-8112-57D0ED462094}" destId="{B9DBDD7A-1784-4F75-9556-2CE50F32B3D9}" srcOrd="4" destOrd="0" parTransId="{3604E1E1-2087-4488-949E-256957385EC2}" sibTransId="{11946150-505A-4EED-9E0A-080CF63B7199}"/>
    <dgm:cxn modelId="{A8A557AF-1A50-40D9-B2D9-CB5EC04C5425}" type="presOf" srcId="{E3CE0DDE-8339-4B1D-9D79-F65C6B0F445C}" destId="{B0A75696-F49E-4045-9B81-1D55F1883AFE}" srcOrd="0" destOrd="0" presId="urn:microsoft.com/office/officeart/2008/layout/LinedList"/>
    <dgm:cxn modelId="{4AEE59C5-830F-4D14-A07C-B35CC812FE22}" type="presOf" srcId="{13C70A27-1B7D-4EC1-8FC1-3D76C3771E8E}" destId="{59C14F34-CC7C-46CD-A55E-76954306485E}" srcOrd="0" destOrd="0" presId="urn:microsoft.com/office/officeart/2008/layout/LinedList"/>
    <dgm:cxn modelId="{D45B78C7-DF0E-4B8B-8137-E33AEA370944}" type="presOf" srcId="{EBCD04F8-24C4-40FB-8112-57D0ED462094}" destId="{C51890F6-E91C-4BD0-9437-8BA8898DF2F3}" srcOrd="0" destOrd="0" presId="urn:microsoft.com/office/officeart/2008/layout/LinedList"/>
    <dgm:cxn modelId="{C0A16AC9-87E8-4C0E-BC33-9027C4EBB6DF}" srcId="{EBCD04F8-24C4-40FB-8112-57D0ED462094}" destId="{35888FBE-8C67-4263-8FC1-647547BBE02D}" srcOrd="3" destOrd="0" parTransId="{ED4981E5-6A00-431D-855A-60AFEB2D800A}" sibTransId="{47964654-2572-46DE-A19C-3D1925501C53}"/>
    <dgm:cxn modelId="{136164CA-F6CE-4EDE-B490-1A3737EF89DB}" srcId="{EBCD04F8-24C4-40FB-8112-57D0ED462094}" destId="{09B26D14-ADD5-45D5-99AA-E25E2071A8EE}" srcOrd="5" destOrd="0" parTransId="{2D342289-167C-4FB6-A0FB-BEF3B7987EBC}" sibTransId="{39D87BD1-26ED-4B47-9910-B7BF3C09B96E}"/>
    <dgm:cxn modelId="{BB906FCC-34A8-4755-979F-1CDF5902396B}" type="presOf" srcId="{09B26D14-ADD5-45D5-99AA-E25E2071A8EE}" destId="{6DD7812F-6DD9-4607-9AC7-7C1904384960}" srcOrd="0" destOrd="0" presId="urn:microsoft.com/office/officeart/2008/layout/LinedList"/>
    <dgm:cxn modelId="{BF3D4DCD-250B-4899-AA16-3AE398A1B8E1}" type="presOf" srcId="{7155CF3E-C5CF-4DFA-8702-5C64A16801D4}" destId="{709DBEEE-0063-4797-AB2D-D01A5B16ECB9}" srcOrd="0" destOrd="0" presId="urn:microsoft.com/office/officeart/2008/layout/LinedList"/>
    <dgm:cxn modelId="{10EF29D2-323D-4E3E-A354-5069E2E0E85D}" srcId="{EBCD04F8-24C4-40FB-8112-57D0ED462094}" destId="{DC284653-1538-45F6-97EC-A462F154DAAB}" srcOrd="2" destOrd="0" parTransId="{8D979BEB-E7B1-4BAB-9F41-F9A1488882E7}" sibTransId="{DE98B754-940E-48A1-84EB-AA6902BB136C}"/>
    <dgm:cxn modelId="{D7DC21E3-7616-49B7-9A67-79C1FA5CFF02}" type="presOf" srcId="{DC284653-1538-45F6-97EC-A462F154DAAB}" destId="{603D8171-62EB-415F-AFAE-FE186D2489F6}" srcOrd="0" destOrd="0" presId="urn:microsoft.com/office/officeart/2008/layout/LinedList"/>
    <dgm:cxn modelId="{93E857EA-6C12-40CD-AE7F-5826E6869510}" type="presOf" srcId="{35888FBE-8C67-4263-8FC1-647547BBE02D}" destId="{9C63EF3F-FE76-42D0-A2A3-318BEB274BD4}" srcOrd="0" destOrd="0" presId="urn:microsoft.com/office/officeart/2008/layout/LinedList"/>
    <dgm:cxn modelId="{004455FC-10DD-4A3D-B130-3A0F719CCCD7}" type="presOf" srcId="{EC809AD2-82B5-4B5E-9948-D08634659774}" destId="{08F037E6-0A89-4DCB-BC0C-8728E9463B47}" srcOrd="0" destOrd="0" presId="urn:microsoft.com/office/officeart/2008/layout/LinedList"/>
    <dgm:cxn modelId="{C715AB3C-3880-41A3-BE51-53ACA7B787A6}" type="presParOf" srcId="{4D05F659-29A4-4E33-A741-47E729958ADE}" destId="{CBFD0241-7754-41D6-8149-1C2C0EF1E954}" srcOrd="0" destOrd="0" presId="urn:microsoft.com/office/officeart/2008/layout/LinedList"/>
    <dgm:cxn modelId="{E328152A-DEB4-42DB-86DF-17CA27AC9250}" type="presParOf" srcId="{4D05F659-29A4-4E33-A741-47E729958ADE}" destId="{978314B5-526F-4694-8C1B-2D9C645C5061}" srcOrd="1" destOrd="0" presId="urn:microsoft.com/office/officeart/2008/layout/LinedList"/>
    <dgm:cxn modelId="{B1F96319-237E-422E-9A24-6708FACC3EFA}" type="presParOf" srcId="{978314B5-526F-4694-8C1B-2D9C645C5061}" destId="{C51890F6-E91C-4BD0-9437-8BA8898DF2F3}" srcOrd="0" destOrd="0" presId="urn:microsoft.com/office/officeart/2008/layout/LinedList"/>
    <dgm:cxn modelId="{8CC2F229-9030-4074-AF54-F9B6CDB428D0}" type="presParOf" srcId="{978314B5-526F-4694-8C1B-2D9C645C5061}" destId="{9111359C-D1A5-4225-9F1F-1E3D61ACAA9C}" srcOrd="1" destOrd="0" presId="urn:microsoft.com/office/officeart/2008/layout/LinedList"/>
    <dgm:cxn modelId="{4E75F568-0CE7-401C-9BA6-DE48FA2B4816}" type="presParOf" srcId="{9111359C-D1A5-4225-9F1F-1E3D61ACAA9C}" destId="{43A2B18E-1003-4E55-83B5-754E59679E95}" srcOrd="0" destOrd="0" presId="urn:microsoft.com/office/officeart/2008/layout/LinedList"/>
    <dgm:cxn modelId="{F825F77A-FFFC-4ED2-AB7C-94C70750A2C0}" type="presParOf" srcId="{9111359C-D1A5-4225-9F1F-1E3D61ACAA9C}" destId="{5AEA97E1-42A2-49B8-829A-6C4C24A428DF}" srcOrd="1" destOrd="0" presId="urn:microsoft.com/office/officeart/2008/layout/LinedList"/>
    <dgm:cxn modelId="{BF1D5995-1EBB-4AF8-806C-3F3845B76C94}" type="presParOf" srcId="{5AEA97E1-42A2-49B8-829A-6C4C24A428DF}" destId="{9B4E62B7-5DC7-4113-875C-30E76F6E4DDF}" srcOrd="0" destOrd="0" presId="urn:microsoft.com/office/officeart/2008/layout/LinedList"/>
    <dgm:cxn modelId="{AB0EE9B8-80D6-41CC-989B-25C8BB76534E}" type="presParOf" srcId="{5AEA97E1-42A2-49B8-829A-6C4C24A428DF}" destId="{59C14F34-CC7C-46CD-A55E-76954306485E}" srcOrd="1" destOrd="0" presId="urn:microsoft.com/office/officeart/2008/layout/LinedList"/>
    <dgm:cxn modelId="{AEB7D303-12DD-4B98-90C7-31CEBCB5C843}" type="presParOf" srcId="{5AEA97E1-42A2-49B8-829A-6C4C24A428DF}" destId="{73975614-C869-4C6C-B2D5-EC68DEF7145C}" srcOrd="2" destOrd="0" presId="urn:microsoft.com/office/officeart/2008/layout/LinedList"/>
    <dgm:cxn modelId="{D8A55780-E6F1-4EFC-BE83-2898D6318A62}" type="presParOf" srcId="{9111359C-D1A5-4225-9F1F-1E3D61ACAA9C}" destId="{4ADA647B-7BB6-4B54-8BBF-A23D87E69785}" srcOrd="2" destOrd="0" presId="urn:microsoft.com/office/officeart/2008/layout/LinedList"/>
    <dgm:cxn modelId="{DDC09ECB-5C79-4C4E-A4FA-E23E6496AC03}" type="presParOf" srcId="{9111359C-D1A5-4225-9F1F-1E3D61ACAA9C}" destId="{AB3C9049-4517-4D7B-BA57-75EB7F40333C}" srcOrd="3" destOrd="0" presId="urn:microsoft.com/office/officeart/2008/layout/LinedList"/>
    <dgm:cxn modelId="{69038690-6307-4038-92F3-091A378ABB14}" type="presParOf" srcId="{9111359C-D1A5-4225-9F1F-1E3D61ACAA9C}" destId="{9DEB8290-39BB-4886-88C3-3713B367AB6E}" srcOrd="4" destOrd="0" presId="urn:microsoft.com/office/officeart/2008/layout/LinedList"/>
    <dgm:cxn modelId="{F3AA0E38-F6B8-43B4-BB75-4EAB0A4A4077}" type="presParOf" srcId="{9DEB8290-39BB-4886-88C3-3713B367AB6E}" destId="{62990BF1-020A-4250-84F0-7E82C476A170}" srcOrd="0" destOrd="0" presId="urn:microsoft.com/office/officeart/2008/layout/LinedList"/>
    <dgm:cxn modelId="{92FA0B7C-1711-4B87-B462-EB2782434A5C}" type="presParOf" srcId="{9DEB8290-39BB-4886-88C3-3713B367AB6E}" destId="{709DBEEE-0063-4797-AB2D-D01A5B16ECB9}" srcOrd="1" destOrd="0" presId="urn:microsoft.com/office/officeart/2008/layout/LinedList"/>
    <dgm:cxn modelId="{30A49CAB-35E6-431C-BFDE-C24011ACA35F}" type="presParOf" srcId="{9DEB8290-39BB-4886-88C3-3713B367AB6E}" destId="{DCDDA18A-85D9-49C8-A451-E1331DD67A9A}" srcOrd="2" destOrd="0" presId="urn:microsoft.com/office/officeart/2008/layout/LinedList"/>
    <dgm:cxn modelId="{56C859D0-6BF5-4824-81E1-7FBB5C96CEE7}" type="presParOf" srcId="{9111359C-D1A5-4225-9F1F-1E3D61ACAA9C}" destId="{9648A7C0-114D-4F8E-9524-F9A95A02506D}" srcOrd="5" destOrd="0" presId="urn:microsoft.com/office/officeart/2008/layout/LinedList"/>
    <dgm:cxn modelId="{072734E7-3027-464C-83A9-53C3938B4ED4}" type="presParOf" srcId="{9111359C-D1A5-4225-9F1F-1E3D61ACAA9C}" destId="{C5971463-F5D1-4E91-9D1E-EB4361D1ADE4}" srcOrd="6" destOrd="0" presId="urn:microsoft.com/office/officeart/2008/layout/LinedList"/>
    <dgm:cxn modelId="{94C08E41-23F4-4B10-AE60-556155DFB900}" type="presParOf" srcId="{9111359C-D1A5-4225-9F1F-1E3D61ACAA9C}" destId="{0C24B1F7-00E5-4BD8-AD97-0228E1BAA07B}" srcOrd="7" destOrd="0" presId="urn:microsoft.com/office/officeart/2008/layout/LinedList"/>
    <dgm:cxn modelId="{C68A53A0-C5F8-4570-8F81-907958D398C2}" type="presParOf" srcId="{0C24B1F7-00E5-4BD8-AD97-0228E1BAA07B}" destId="{FF8FD651-4AD9-476F-8B55-EEB3B6F9790E}" srcOrd="0" destOrd="0" presId="urn:microsoft.com/office/officeart/2008/layout/LinedList"/>
    <dgm:cxn modelId="{B1FABB02-2066-4DF4-B81D-075387EEFE43}" type="presParOf" srcId="{0C24B1F7-00E5-4BD8-AD97-0228E1BAA07B}" destId="{603D8171-62EB-415F-AFAE-FE186D2489F6}" srcOrd="1" destOrd="0" presId="urn:microsoft.com/office/officeart/2008/layout/LinedList"/>
    <dgm:cxn modelId="{FEBAD48B-67D1-4D30-A171-EE8AE097A2A4}" type="presParOf" srcId="{0C24B1F7-00E5-4BD8-AD97-0228E1BAA07B}" destId="{D9793BCB-E68F-420F-8B37-D715F2100069}" srcOrd="2" destOrd="0" presId="urn:microsoft.com/office/officeart/2008/layout/LinedList"/>
    <dgm:cxn modelId="{298EA46F-1796-49E7-BD9B-02699F5C3837}" type="presParOf" srcId="{9111359C-D1A5-4225-9F1F-1E3D61ACAA9C}" destId="{BCEF9E99-22C8-4B1F-8819-F4F045991388}" srcOrd="8" destOrd="0" presId="urn:microsoft.com/office/officeart/2008/layout/LinedList"/>
    <dgm:cxn modelId="{7E2B8E89-A213-47A6-ADD8-FBAABEF6C9B6}" type="presParOf" srcId="{9111359C-D1A5-4225-9F1F-1E3D61ACAA9C}" destId="{2146122C-3E37-4B89-A3AA-2EE3E2B0C920}" srcOrd="9" destOrd="0" presId="urn:microsoft.com/office/officeart/2008/layout/LinedList"/>
    <dgm:cxn modelId="{09F6CEA0-8E98-4E84-95A5-51A05680570F}" type="presParOf" srcId="{9111359C-D1A5-4225-9F1F-1E3D61ACAA9C}" destId="{218624E1-95B1-41E2-889A-B0F4E2A66154}" srcOrd="10" destOrd="0" presId="urn:microsoft.com/office/officeart/2008/layout/LinedList"/>
    <dgm:cxn modelId="{0CA9A484-76DE-4E89-B41B-C0161001ABD9}" type="presParOf" srcId="{218624E1-95B1-41E2-889A-B0F4E2A66154}" destId="{701CFBD6-73F7-4C1B-9EDA-010764875749}" srcOrd="0" destOrd="0" presId="urn:microsoft.com/office/officeart/2008/layout/LinedList"/>
    <dgm:cxn modelId="{140E27A7-3217-4791-90E5-73842AC74AC7}" type="presParOf" srcId="{218624E1-95B1-41E2-889A-B0F4E2A66154}" destId="{9C63EF3F-FE76-42D0-A2A3-318BEB274BD4}" srcOrd="1" destOrd="0" presId="urn:microsoft.com/office/officeart/2008/layout/LinedList"/>
    <dgm:cxn modelId="{76BE974D-6B52-4172-99FD-FCC7B6DEF436}" type="presParOf" srcId="{218624E1-95B1-41E2-889A-B0F4E2A66154}" destId="{0D30E0E3-73EC-4209-B12C-05C56E38892D}" srcOrd="2" destOrd="0" presId="urn:microsoft.com/office/officeart/2008/layout/LinedList"/>
    <dgm:cxn modelId="{23AC4207-5FBD-42B3-8E6E-75269F0F3E4F}" type="presParOf" srcId="{9111359C-D1A5-4225-9F1F-1E3D61ACAA9C}" destId="{90F82499-EFF3-4BC7-86BF-37B6F1DC1C64}" srcOrd="11" destOrd="0" presId="urn:microsoft.com/office/officeart/2008/layout/LinedList"/>
    <dgm:cxn modelId="{72AC4218-8CFB-4426-BEC7-86D7B5C524DA}" type="presParOf" srcId="{9111359C-D1A5-4225-9F1F-1E3D61ACAA9C}" destId="{DB5DAE5D-DA5F-4331-9770-F7D6FD13932F}" srcOrd="12" destOrd="0" presId="urn:microsoft.com/office/officeart/2008/layout/LinedList"/>
    <dgm:cxn modelId="{851889ED-76AB-4F97-9848-EF501D29A235}" type="presParOf" srcId="{9111359C-D1A5-4225-9F1F-1E3D61ACAA9C}" destId="{5FD74720-B43F-4491-AD52-E039C1765CB2}" srcOrd="13" destOrd="0" presId="urn:microsoft.com/office/officeart/2008/layout/LinedList"/>
    <dgm:cxn modelId="{0AAD550E-22CD-45E5-90FE-499FF1C499C4}" type="presParOf" srcId="{5FD74720-B43F-4491-AD52-E039C1765CB2}" destId="{35B33C26-1492-4881-B756-7FDB2454EE31}" srcOrd="0" destOrd="0" presId="urn:microsoft.com/office/officeart/2008/layout/LinedList"/>
    <dgm:cxn modelId="{E57A104D-C940-474D-A247-B814EF840C72}" type="presParOf" srcId="{5FD74720-B43F-4491-AD52-E039C1765CB2}" destId="{11EC4893-6E47-4253-8ED4-4CCF14947E7D}" srcOrd="1" destOrd="0" presId="urn:microsoft.com/office/officeart/2008/layout/LinedList"/>
    <dgm:cxn modelId="{253C8ABC-610E-4A6E-A45F-ED4744D253D2}" type="presParOf" srcId="{5FD74720-B43F-4491-AD52-E039C1765CB2}" destId="{51FA7C3C-0550-49DA-AC8C-ECE8E63AE33E}" srcOrd="2" destOrd="0" presId="urn:microsoft.com/office/officeart/2008/layout/LinedList"/>
    <dgm:cxn modelId="{CEEE5DD1-15D8-4F64-AFD3-25C5DA2491A3}" type="presParOf" srcId="{9111359C-D1A5-4225-9F1F-1E3D61ACAA9C}" destId="{3564221C-8D25-4E79-951A-E06137BF560A}" srcOrd="14" destOrd="0" presId="urn:microsoft.com/office/officeart/2008/layout/LinedList"/>
    <dgm:cxn modelId="{DD237A94-5406-4C10-9AC1-B071B8341485}" type="presParOf" srcId="{9111359C-D1A5-4225-9F1F-1E3D61ACAA9C}" destId="{C3C6987D-6275-44CF-B896-50E686F09F2A}" srcOrd="15" destOrd="0" presId="urn:microsoft.com/office/officeart/2008/layout/LinedList"/>
    <dgm:cxn modelId="{A3CC3ADB-0CB1-4627-84DE-77E82FCC77EC}" type="presParOf" srcId="{9111359C-D1A5-4225-9F1F-1E3D61ACAA9C}" destId="{68AE85CC-B379-4F39-BB88-3705404757FF}" srcOrd="16" destOrd="0" presId="urn:microsoft.com/office/officeart/2008/layout/LinedList"/>
    <dgm:cxn modelId="{74AC3DFE-0138-457F-AA21-79CF32F076A4}" type="presParOf" srcId="{68AE85CC-B379-4F39-BB88-3705404757FF}" destId="{94E579D2-6A01-47D9-A2D2-0F493D15F311}" srcOrd="0" destOrd="0" presId="urn:microsoft.com/office/officeart/2008/layout/LinedList"/>
    <dgm:cxn modelId="{A4790D6D-B285-48C2-A0B2-857245D8E4F7}" type="presParOf" srcId="{68AE85CC-B379-4F39-BB88-3705404757FF}" destId="{6DD7812F-6DD9-4607-9AC7-7C1904384960}" srcOrd="1" destOrd="0" presId="urn:microsoft.com/office/officeart/2008/layout/LinedList"/>
    <dgm:cxn modelId="{5A798352-8D9D-4AEC-9CBD-915B0DE497D8}" type="presParOf" srcId="{68AE85CC-B379-4F39-BB88-3705404757FF}" destId="{DAA7F586-A38B-47FE-ACEF-A7693FC6CD5B}" srcOrd="2" destOrd="0" presId="urn:microsoft.com/office/officeart/2008/layout/LinedList"/>
    <dgm:cxn modelId="{857BD54C-701A-42F1-9434-EEEFD416D9B6}" type="presParOf" srcId="{9111359C-D1A5-4225-9F1F-1E3D61ACAA9C}" destId="{B365D75A-1E00-45B2-81CD-CE7CD94E07A2}" srcOrd="17" destOrd="0" presId="urn:microsoft.com/office/officeart/2008/layout/LinedList"/>
    <dgm:cxn modelId="{52B25C3E-873E-4886-B4A0-4D5DB438C093}" type="presParOf" srcId="{9111359C-D1A5-4225-9F1F-1E3D61ACAA9C}" destId="{7FD316C7-95EB-448E-9779-61A61C041FF2}" srcOrd="18" destOrd="0" presId="urn:microsoft.com/office/officeart/2008/layout/LinedList"/>
    <dgm:cxn modelId="{A8A14D1B-E27E-4ADF-A343-6806BC3B8C5C}" type="presParOf" srcId="{9111359C-D1A5-4225-9F1F-1E3D61ACAA9C}" destId="{02BA1F63-CFA6-4A3D-9F03-CFE86E238E29}" srcOrd="19" destOrd="0" presId="urn:microsoft.com/office/officeart/2008/layout/LinedList"/>
    <dgm:cxn modelId="{4F5345F0-D358-44AA-8448-AE39C875D1DB}" type="presParOf" srcId="{02BA1F63-CFA6-4A3D-9F03-CFE86E238E29}" destId="{E83DB6F6-593F-48B3-BF01-8D4DFA692AB8}" srcOrd="0" destOrd="0" presId="urn:microsoft.com/office/officeart/2008/layout/LinedList"/>
    <dgm:cxn modelId="{0D14BB14-F2B4-428C-9A8B-53C631E64CEE}" type="presParOf" srcId="{02BA1F63-CFA6-4A3D-9F03-CFE86E238E29}" destId="{08F037E6-0A89-4DCB-BC0C-8728E9463B47}" srcOrd="1" destOrd="0" presId="urn:microsoft.com/office/officeart/2008/layout/LinedList"/>
    <dgm:cxn modelId="{377406F5-396E-456B-817C-9679F5D044AC}" type="presParOf" srcId="{02BA1F63-CFA6-4A3D-9F03-CFE86E238E29}" destId="{3DCF056E-1534-4107-8C62-3C210F55B8E6}" srcOrd="2" destOrd="0" presId="urn:microsoft.com/office/officeart/2008/layout/LinedList"/>
    <dgm:cxn modelId="{6B18EA92-DF03-43A1-9993-4FBFDB88A40B}" type="presParOf" srcId="{9111359C-D1A5-4225-9F1F-1E3D61ACAA9C}" destId="{95F9F1D3-E3EE-42D3-840E-2EAC6F56E434}" srcOrd="20" destOrd="0" presId="urn:microsoft.com/office/officeart/2008/layout/LinedList"/>
    <dgm:cxn modelId="{E75698AE-D384-465D-B2A7-19558F583CDB}" type="presParOf" srcId="{9111359C-D1A5-4225-9F1F-1E3D61ACAA9C}" destId="{638A04BB-C918-48A7-A8D0-CE98652C2235}" srcOrd="21" destOrd="0" presId="urn:microsoft.com/office/officeart/2008/layout/LinedList"/>
    <dgm:cxn modelId="{A46270CF-6179-4A55-8458-513D174D86B9}" type="presParOf" srcId="{9111359C-D1A5-4225-9F1F-1E3D61ACAA9C}" destId="{385F477A-E5D1-4943-8E7C-567212333A0A}" srcOrd="22" destOrd="0" presId="urn:microsoft.com/office/officeart/2008/layout/LinedList"/>
    <dgm:cxn modelId="{C7C5FCA7-2507-4DFA-B12B-203F5C6AD662}" type="presParOf" srcId="{385F477A-E5D1-4943-8E7C-567212333A0A}" destId="{8C8E1B59-7AB9-46B7-95AB-199D79FC7B50}" srcOrd="0" destOrd="0" presId="urn:microsoft.com/office/officeart/2008/layout/LinedList"/>
    <dgm:cxn modelId="{83065D99-5D41-4B38-BFDE-BAC1C0DED012}" type="presParOf" srcId="{385F477A-E5D1-4943-8E7C-567212333A0A}" destId="{B0A75696-F49E-4045-9B81-1D55F1883AFE}" srcOrd="1" destOrd="0" presId="urn:microsoft.com/office/officeart/2008/layout/LinedList"/>
    <dgm:cxn modelId="{4FFFC16D-D4D9-44C5-81E4-F8139FD88E3F}" type="presParOf" srcId="{385F477A-E5D1-4943-8E7C-567212333A0A}" destId="{1C6B5F8A-5F4C-4A41-9DF6-C518509A907D}" srcOrd="2" destOrd="0" presId="urn:microsoft.com/office/officeart/2008/layout/LinedList"/>
    <dgm:cxn modelId="{A6729536-24DA-4B7D-91E1-E952A6208D6B}" type="presParOf" srcId="{9111359C-D1A5-4225-9F1F-1E3D61ACAA9C}" destId="{87A5CA77-E190-4F0C-9AF6-DCC817573619}" srcOrd="23" destOrd="0" presId="urn:microsoft.com/office/officeart/2008/layout/LinedList"/>
    <dgm:cxn modelId="{B07CE614-46C5-4CC9-85C8-41B31E780859}" type="presParOf" srcId="{9111359C-D1A5-4225-9F1F-1E3D61ACAA9C}" destId="{4B9463D5-F570-48C4-8F27-6753397877EA}" srcOrd="24" destOrd="0" presId="urn:microsoft.com/office/officeart/2008/layout/LinedList"/>
    <dgm:cxn modelId="{03A31A66-44CF-4500-8769-9DE92E91795C}" type="presParOf" srcId="{9111359C-D1A5-4225-9F1F-1E3D61ACAA9C}" destId="{7AA04707-F28C-4492-ABBA-3C68FA367025}" srcOrd="25" destOrd="0" presId="urn:microsoft.com/office/officeart/2008/layout/LinedList"/>
    <dgm:cxn modelId="{BEB631CD-02D4-4AAC-A6E4-459517A8AC75}" type="presParOf" srcId="{7AA04707-F28C-4492-ABBA-3C68FA367025}" destId="{8CE096F6-D7FE-4F7F-8631-603A13DF38CB}" srcOrd="0" destOrd="0" presId="urn:microsoft.com/office/officeart/2008/layout/LinedList"/>
    <dgm:cxn modelId="{B7AC6B93-8B3F-47DA-A230-E9955599BDDD}" type="presParOf" srcId="{7AA04707-F28C-4492-ABBA-3C68FA367025}" destId="{6A0D3AEF-BD84-4C93-A82C-41D239E6E616}" srcOrd="1" destOrd="0" presId="urn:microsoft.com/office/officeart/2008/layout/LinedList"/>
    <dgm:cxn modelId="{BA2DECFD-3842-4CE0-8BD6-E1787ADBF1FE}" type="presParOf" srcId="{7AA04707-F28C-4492-ABBA-3C68FA367025}" destId="{A43C32EE-8A80-46D2-8F9A-DC95FD38E3A1}" srcOrd="2" destOrd="0" presId="urn:microsoft.com/office/officeart/2008/layout/LinedList"/>
    <dgm:cxn modelId="{76E6E95C-3B58-49CE-BFED-38058F51C6A1}" type="presParOf" srcId="{9111359C-D1A5-4225-9F1F-1E3D61ACAA9C}" destId="{297067C6-D55F-4AEE-8978-782DEBA26E84}" srcOrd="26" destOrd="0" presId="urn:microsoft.com/office/officeart/2008/layout/LinedList"/>
    <dgm:cxn modelId="{57C3C9FF-FD12-4ED2-A8DA-E1735A4E77A3}" type="presParOf" srcId="{9111359C-D1A5-4225-9F1F-1E3D61ACAA9C}" destId="{5D612AEB-CB37-41B9-9965-B4583D12A6E3}" srcOrd="27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F4EE77DC-EB40-492E-932C-703FC967065B}" type="doc">
      <dgm:prSet loTypeId="urn:microsoft.com/office/officeart/2008/layout/LinedList" loCatId="list" qsTypeId="urn:microsoft.com/office/officeart/2005/8/quickstyle/simple2" qsCatId="simple" csTypeId="urn:microsoft.com/office/officeart/2005/8/colors/colorful2" csCatId="colorful" phldr="1"/>
      <dgm:spPr/>
      <dgm:t>
        <a:bodyPr/>
        <a:lstStyle/>
        <a:p>
          <a:endParaRPr kumimoji="1" lang="ja-JP" altLang="en-US"/>
        </a:p>
      </dgm:t>
    </dgm:pt>
    <dgm:pt modelId="{EBCD04F8-24C4-40FB-8112-57D0ED462094}">
      <dgm:prSet phldrT="[텍스트]"/>
      <dgm:spPr/>
      <dgm:t>
        <a:bodyPr/>
        <a:lstStyle/>
        <a:p>
          <a:r>
            <a:rPr kumimoji="1" lang="en-US" altLang="ko-KR"/>
            <a:t>Planner</a:t>
          </a:r>
          <a:r>
            <a:rPr kumimoji="1" lang="ko-KR" altLang="en-US"/>
            <a:t> </a:t>
          </a:r>
          <a:r>
            <a:rPr kumimoji="1" lang="en-US" altLang="ko-KR"/>
            <a:t>v1.1</a:t>
          </a:r>
          <a:endParaRPr kumimoji="1" lang="ja-JP" altLang="en-US"/>
        </a:p>
      </dgm:t>
    </dgm:pt>
    <dgm:pt modelId="{58CC2B3D-9DF8-471B-BB08-0B0474B0E2E9}" type="parTrans" cxnId="{F79AEC11-6BBD-4257-9FC2-4494FAA0B09E}">
      <dgm:prSet/>
      <dgm:spPr/>
      <dgm:t>
        <a:bodyPr/>
        <a:lstStyle/>
        <a:p>
          <a:endParaRPr kumimoji="1" lang="ja-JP" altLang="en-US"/>
        </a:p>
      </dgm:t>
    </dgm:pt>
    <dgm:pt modelId="{74D44B0C-04A3-4E9E-B46E-64B41DDCF02C}" type="sibTrans" cxnId="{F79AEC11-6BBD-4257-9FC2-4494FAA0B09E}">
      <dgm:prSet/>
      <dgm:spPr/>
      <dgm:t>
        <a:bodyPr/>
        <a:lstStyle/>
        <a:p>
          <a:endParaRPr kumimoji="1" lang="ja-JP" altLang="en-US"/>
        </a:p>
      </dgm:t>
    </dgm:pt>
    <dgm:pt modelId="{13C70A27-1B7D-4EC1-8FC1-3D76C3771E8E}">
      <dgm:prSet phldrT="[텍스트]"/>
      <dgm:spPr/>
      <dgm:t>
        <a:bodyPr/>
        <a:lstStyle/>
        <a:p>
          <a:r>
            <a:rPr kumimoji="1" lang="ko-KR" altLang="en-US"/>
            <a:t>축일 따로 </a:t>
          </a:r>
          <a:r>
            <a:rPr kumimoji="1" lang="en-US" altLang="en-US"/>
            <a:t>Data </a:t>
          </a:r>
          <a:r>
            <a:rPr kumimoji="1" lang="ko-KR" altLang="en-US"/>
            <a:t>시트에 빼기</a:t>
          </a:r>
          <a:endParaRPr kumimoji="1" lang="ja-JP" altLang="en-US"/>
        </a:p>
      </dgm:t>
    </dgm:pt>
    <dgm:pt modelId="{0809E219-6F0E-4D42-A92A-86BDC9917F06}" type="parTrans" cxnId="{81D0862E-56A8-40E2-8495-E7EBDB5E5BF3}">
      <dgm:prSet/>
      <dgm:spPr/>
      <dgm:t>
        <a:bodyPr/>
        <a:lstStyle/>
        <a:p>
          <a:endParaRPr kumimoji="1" lang="ja-JP" altLang="en-US"/>
        </a:p>
      </dgm:t>
    </dgm:pt>
    <dgm:pt modelId="{6CF9CC07-BC0C-4A9A-BE52-3DBE5F6464D7}" type="sibTrans" cxnId="{81D0862E-56A8-40E2-8495-E7EBDB5E5BF3}">
      <dgm:prSet/>
      <dgm:spPr/>
      <dgm:t>
        <a:bodyPr/>
        <a:lstStyle/>
        <a:p>
          <a:endParaRPr kumimoji="1" lang="ja-JP" altLang="en-US"/>
        </a:p>
      </dgm:t>
    </dgm:pt>
    <dgm:pt modelId="{7155CF3E-C5CF-4DFA-8702-5C64A16801D4}">
      <dgm:prSet phldrT="[텍스트]"/>
      <dgm:spPr/>
      <dgm:t>
        <a:bodyPr/>
        <a:lstStyle/>
        <a:p>
          <a:r>
            <a:rPr kumimoji="1" lang="ko-KR" altLang="en-US"/>
            <a:t>스케쥴표에 오늘가는 버튼 만들기</a:t>
          </a:r>
          <a:endParaRPr kumimoji="1" lang="ja-JP" altLang="en-US"/>
        </a:p>
      </dgm:t>
    </dgm:pt>
    <dgm:pt modelId="{4CD9DB51-95D7-4AAA-BB4A-FDB30ED48206}" type="parTrans" cxnId="{058EEB18-018E-4C00-AE6C-D98AD6706397}">
      <dgm:prSet/>
      <dgm:spPr/>
      <dgm:t>
        <a:bodyPr/>
        <a:lstStyle/>
        <a:p>
          <a:endParaRPr kumimoji="1" lang="ja-JP" altLang="en-US"/>
        </a:p>
      </dgm:t>
    </dgm:pt>
    <dgm:pt modelId="{503CDF02-E386-4DA9-A286-1D85782D3A31}" type="sibTrans" cxnId="{058EEB18-018E-4C00-AE6C-D98AD6706397}">
      <dgm:prSet/>
      <dgm:spPr/>
      <dgm:t>
        <a:bodyPr/>
        <a:lstStyle/>
        <a:p>
          <a:endParaRPr kumimoji="1" lang="ja-JP" altLang="en-US"/>
        </a:p>
      </dgm:t>
    </dgm:pt>
    <dgm:pt modelId="{DC284653-1538-45F6-97EC-A462F154DAAB}">
      <dgm:prSet phldrT="[텍스트]"/>
      <dgm:spPr/>
      <dgm:t>
        <a:bodyPr/>
        <a:lstStyle/>
        <a:p>
          <a:r>
            <a:rPr kumimoji="1" lang="ko-KR" altLang="en-US"/>
            <a:t>빨초녹검파 색깔지정해 개인매크로로 지정</a:t>
          </a:r>
          <a:endParaRPr kumimoji="1" lang="ja-JP" altLang="en-US"/>
        </a:p>
      </dgm:t>
    </dgm:pt>
    <dgm:pt modelId="{8D979BEB-E7B1-4BAB-9F41-F9A1488882E7}" type="parTrans" cxnId="{10EF29D2-323D-4E3E-A354-5069E2E0E85D}">
      <dgm:prSet/>
      <dgm:spPr/>
      <dgm:t>
        <a:bodyPr/>
        <a:lstStyle/>
        <a:p>
          <a:endParaRPr kumimoji="1" lang="ja-JP" altLang="en-US"/>
        </a:p>
      </dgm:t>
    </dgm:pt>
    <dgm:pt modelId="{DE98B754-940E-48A1-84EB-AA6902BB136C}" type="sibTrans" cxnId="{10EF29D2-323D-4E3E-A354-5069E2E0E85D}">
      <dgm:prSet/>
      <dgm:spPr/>
      <dgm:t>
        <a:bodyPr/>
        <a:lstStyle/>
        <a:p>
          <a:endParaRPr kumimoji="1" lang="ja-JP" altLang="en-US"/>
        </a:p>
      </dgm:t>
    </dgm:pt>
    <dgm:pt modelId="{35888FBE-8C67-4263-8FC1-647547BBE02D}">
      <dgm:prSet phldrT="[텍스트]"/>
      <dgm:spPr/>
      <dgm:t>
        <a:bodyPr/>
        <a:lstStyle/>
        <a:p>
          <a:r>
            <a:rPr kumimoji="1" lang="ko-KR" altLang="en-US"/>
            <a:t>일정 </a:t>
          </a:r>
          <a:r>
            <a:rPr kumimoji="1" lang="en-US" altLang="en-US"/>
            <a:t>8</a:t>
          </a:r>
          <a:r>
            <a:rPr kumimoji="1" lang="ko-KR" altLang="en-US"/>
            <a:t>까지 칸 늘리기</a:t>
          </a:r>
          <a:endParaRPr kumimoji="1" lang="ja-JP" altLang="en-US"/>
        </a:p>
      </dgm:t>
    </dgm:pt>
    <dgm:pt modelId="{ED4981E5-6A00-431D-855A-60AFEB2D800A}" type="parTrans" cxnId="{C0A16AC9-87E8-4C0E-BC33-9027C4EBB6DF}">
      <dgm:prSet/>
      <dgm:spPr/>
      <dgm:t>
        <a:bodyPr/>
        <a:lstStyle/>
        <a:p>
          <a:endParaRPr kumimoji="1" lang="ja-JP" altLang="en-US"/>
        </a:p>
      </dgm:t>
    </dgm:pt>
    <dgm:pt modelId="{47964654-2572-46DE-A19C-3D1925501C53}" type="sibTrans" cxnId="{C0A16AC9-87E8-4C0E-BC33-9027C4EBB6DF}">
      <dgm:prSet/>
      <dgm:spPr/>
      <dgm:t>
        <a:bodyPr/>
        <a:lstStyle/>
        <a:p>
          <a:endParaRPr kumimoji="1" lang="ja-JP" altLang="en-US"/>
        </a:p>
      </dgm:t>
    </dgm:pt>
    <dgm:pt modelId="{B9DBDD7A-1784-4F75-9556-2CE50F32B3D9}">
      <dgm:prSet phldrT="[텍스트]"/>
      <dgm:spPr/>
      <dgm:t>
        <a:bodyPr/>
        <a:lstStyle/>
        <a:p>
          <a:r>
            <a:rPr kumimoji="1" lang="ko-KR" altLang="en-US"/>
            <a:t>일정시트 기능만들기</a:t>
          </a:r>
          <a:r>
            <a:rPr kumimoji="1" lang="en-US" altLang="ko-KR"/>
            <a:t>, </a:t>
          </a:r>
          <a:r>
            <a:rPr kumimoji="1" lang="ko-KR" altLang="en-US"/>
            <a:t>일정시트 조건부서식 수정</a:t>
          </a:r>
          <a:r>
            <a:rPr kumimoji="1" lang="en-US" altLang="ko-KR"/>
            <a:t>, </a:t>
          </a:r>
          <a:r>
            <a:rPr kumimoji="1" lang="ko-KR" altLang="en-US"/>
            <a:t>일정 시트 보호</a:t>
          </a:r>
          <a:endParaRPr kumimoji="1" lang="ja-JP" altLang="en-US"/>
        </a:p>
      </dgm:t>
    </dgm:pt>
    <dgm:pt modelId="{3604E1E1-2087-4488-949E-256957385EC2}" type="parTrans" cxnId="{2F2C7EA0-3FC9-4BE9-9D36-78C4D8897CB8}">
      <dgm:prSet/>
      <dgm:spPr/>
      <dgm:t>
        <a:bodyPr/>
        <a:lstStyle/>
        <a:p>
          <a:endParaRPr kumimoji="1" lang="ja-JP" altLang="en-US"/>
        </a:p>
      </dgm:t>
    </dgm:pt>
    <dgm:pt modelId="{11946150-505A-4EED-9E0A-080CF63B7199}" type="sibTrans" cxnId="{2F2C7EA0-3FC9-4BE9-9D36-78C4D8897CB8}">
      <dgm:prSet/>
      <dgm:spPr/>
      <dgm:t>
        <a:bodyPr/>
        <a:lstStyle/>
        <a:p>
          <a:endParaRPr kumimoji="1" lang="ja-JP" altLang="en-US"/>
        </a:p>
      </dgm:t>
    </dgm:pt>
    <dgm:pt modelId="{09B26D14-ADD5-45D5-99AA-E25E2071A8EE}">
      <dgm:prSet phldrT="[텍스트]"/>
      <dgm:spPr/>
      <dgm:t>
        <a:bodyPr/>
        <a:lstStyle/>
        <a:p>
          <a:r>
            <a:rPr kumimoji="1" lang="ko-KR" altLang="en-US"/>
            <a:t>일정에 루틴 </a:t>
          </a:r>
          <a:r>
            <a:rPr kumimoji="1" lang="en-US" altLang="en-US"/>
            <a:t>data</a:t>
          </a:r>
          <a:r>
            <a:rPr kumimoji="1" lang="ko-KR" altLang="en-US"/>
            <a:t>시트 적용하기</a:t>
          </a:r>
          <a:r>
            <a:rPr kumimoji="1" lang="en-US" altLang="en-US"/>
            <a:t>2 + </a:t>
          </a:r>
          <a:r>
            <a:rPr kumimoji="1" lang="ko-KR" altLang="en-US"/>
            <a:t>아카이브에 등록가능하게 </a:t>
          </a:r>
          <a:r>
            <a:rPr kumimoji="1" lang="en-US" altLang="en-US"/>
            <a:t>(</a:t>
          </a:r>
          <a:r>
            <a:rPr kumimoji="1" lang="ko-KR" altLang="en-US"/>
            <a:t>이건 직접 해야함</a:t>
          </a:r>
          <a:r>
            <a:rPr kumimoji="1" lang="en-US" altLang="en-US"/>
            <a:t>)</a:t>
          </a:r>
          <a:endParaRPr kumimoji="1" lang="ja-JP" altLang="en-US"/>
        </a:p>
      </dgm:t>
    </dgm:pt>
    <dgm:pt modelId="{2D342289-167C-4FB6-A0FB-BEF3B7987EBC}" type="parTrans" cxnId="{136164CA-F6CE-4EDE-B490-1A3737EF89DB}">
      <dgm:prSet/>
      <dgm:spPr/>
      <dgm:t>
        <a:bodyPr/>
        <a:lstStyle/>
        <a:p>
          <a:endParaRPr kumimoji="1" lang="ja-JP" altLang="en-US"/>
        </a:p>
      </dgm:t>
    </dgm:pt>
    <dgm:pt modelId="{39D87BD1-26ED-4B47-9910-B7BF3C09B96E}" type="sibTrans" cxnId="{136164CA-F6CE-4EDE-B490-1A3737EF89DB}">
      <dgm:prSet/>
      <dgm:spPr/>
      <dgm:t>
        <a:bodyPr/>
        <a:lstStyle/>
        <a:p>
          <a:endParaRPr kumimoji="1" lang="ja-JP" altLang="en-US"/>
        </a:p>
      </dgm:t>
    </dgm:pt>
    <dgm:pt modelId="{EC809AD2-82B5-4B5E-9948-D08634659774}">
      <dgm:prSet phldrT="[텍스트]"/>
      <dgm:spPr/>
      <dgm:t>
        <a:bodyPr/>
        <a:lstStyle/>
        <a:p>
          <a:r>
            <a:rPr kumimoji="1" lang="ko-KR" altLang="en-US"/>
            <a:t>날씨 기능 </a:t>
          </a:r>
          <a:r>
            <a:rPr kumimoji="1" lang="en-US" altLang="ko-KR"/>
            <a:t>(</a:t>
          </a:r>
          <a:r>
            <a:rPr kumimoji="1" lang="ko-KR" altLang="en-US"/>
            <a:t>무거워져서 타 파일에 만들고 연계</a:t>
          </a:r>
          <a:r>
            <a:rPr kumimoji="1" lang="en-US" altLang="ko-KR"/>
            <a:t>)</a:t>
          </a:r>
          <a:endParaRPr kumimoji="1" lang="ja-JP" altLang="en-US"/>
        </a:p>
      </dgm:t>
    </dgm:pt>
    <dgm:pt modelId="{881823FC-E1C0-4CC2-A5CB-4B0B6E9F1026}" type="parTrans" cxnId="{162D1B4B-94C3-49F9-8187-A3B34A2CFCD5}">
      <dgm:prSet/>
      <dgm:spPr/>
      <dgm:t>
        <a:bodyPr/>
        <a:lstStyle/>
        <a:p>
          <a:endParaRPr kumimoji="1" lang="ja-JP" altLang="en-US"/>
        </a:p>
      </dgm:t>
    </dgm:pt>
    <dgm:pt modelId="{00496603-2238-4B43-851D-CB8C424E6241}" type="sibTrans" cxnId="{162D1B4B-94C3-49F9-8187-A3B34A2CFCD5}">
      <dgm:prSet/>
      <dgm:spPr/>
      <dgm:t>
        <a:bodyPr/>
        <a:lstStyle/>
        <a:p>
          <a:endParaRPr kumimoji="1" lang="ja-JP" altLang="en-US"/>
        </a:p>
      </dgm:t>
    </dgm:pt>
    <dgm:pt modelId="{E3CE0DDE-8339-4B1D-9D79-F65C6B0F445C}">
      <dgm:prSet phldrT="[텍스트]"/>
      <dgm:spPr/>
      <dgm:t>
        <a:bodyPr/>
        <a:lstStyle/>
        <a:p>
          <a:r>
            <a:rPr kumimoji="1" lang="ko-KR" altLang="en-US"/>
            <a:t>달력으로 이동</a:t>
          </a:r>
          <a:endParaRPr kumimoji="1" lang="ja-JP" altLang="en-US"/>
        </a:p>
      </dgm:t>
    </dgm:pt>
    <dgm:pt modelId="{4B0252E3-13D8-419A-A64E-C1224AAC6D8B}" type="parTrans" cxnId="{F795624C-73BE-4342-9F22-E218647D5CF3}">
      <dgm:prSet/>
      <dgm:spPr/>
      <dgm:t>
        <a:bodyPr/>
        <a:lstStyle/>
        <a:p>
          <a:endParaRPr kumimoji="1" lang="ja-JP" altLang="en-US"/>
        </a:p>
      </dgm:t>
    </dgm:pt>
    <dgm:pt modelId="{A16D269D-0EC1-43F0-A8D6-E97A49225E16}" type="sibTrans" cxnId="{F795624C-73BE-4342-9F22-E218647D5CF3}">
      <dgm:prSet/>
      <dgm:spPr/>
      <dgm:t>
        <a:bodyPr/>
        <a:lstStyle/>
        <a:p>
          <a:endParaRPr kumimoji="1" lang="ja-JP" altLang="en-US"/>
        </a:p>
      </dgm:t>
    </dgm:pt>
    <dgm:pt modelId="{E4529FB5-53FE-41D1-BAB9-BBD778D83E2A}">
      <dgm:prSet phldrT="[텍스트]"/>
      <dgm:spPr/>
      <dgm:t>
        <a:bodyPr/>
        <a:lstStyle/>
        <a:p>
          <a:r>
            <a:rPr kumimoji="1" lang="ko-KR" altLang="en-US"/>
            <a:t>일본어</a:t>
          </a:r>
          <a:r>
            <a:rPr kumimoji="1" lang="en-US" altLang="ko-KR"/>
            <a:t>/</a:t>
          </a:r>
          <a:r>
            <a:rPr kumimoji="1" lang="ko-KR" altLang="en-US"/>
            <a:t>영어</a:t>
          </a:r>
          <a:r>
            <a:rPr kumimoji="1" lang="en-US" altLang="ko-KR"/>
            <a:t>/</a:t>
          </a:r>
          <a:r>
            <a:rPr kumimoji="1" lang="ko-KR" altLang="en-US"/>
            <a:t>한국어판 제작 </a:t>
          </a:r>
          <a:r>
            <a:rPr kumimoji="1" lang="en-US" altLang="ko-KR"/>
            <a:t>(</a:t>
          </a:r>
          <a:r>
            <a:rPr kumimoji="1" lang="ko-KR" altLang="en-US"/>
            <a:t>코드는 비번 걸어두기</a:t>
          </a:r>
          <a:r>
            <a:rPr kumimoji="1" lang="en-US" altLang="ko-KR"/>
            <a:t>) : </a:t>
          </a:r>
          <a:r>
            <a:rPr kumimoji="1" lang="ko-KR" altLang="en-US"/>
            <a:t>상업용 프로젝트로도 제작</a:t>
          </a:r>
          <a:endParaRPr kumimoji="1" lang="ja-JP" altLang="en-US"/>
        </a:p>
      </dgm:t>
    </dgm:pt>
    <dgm:pt modelId="{4B4331E3-345B-4784-930F-BB20571E5377}" type="parTrans" cxnId="{F8BE6C56-ACA4-49D0-B986-DD9546DA1107}">
      <dgm:prSet/>
      <dgm:spPr/>
      <dgm:t>
        <a:bodyPr/>
        <a:lstStyle/>
        <a:p>
          <a:endParaRPr kumimoji="1" lang="ja-JP" altLang="en-US"/>
        </a:p>
      </dgm:t>
    </dgm:pt>
    <dgm:pt modelId="{FBD8C18A-EF89-456B-BD52-AA2187ED0A68}" type="sibTrans" cxnId="{F8BE6C56-ACA4-49D0-B986-DD9546DA1107}">
      <dgm:prSet/>
      <dgm:spPr/>
      <dgm:t>
        <a:bodyPr/>
        <a:lstStyle/>
        <a:p>
          <a:endParaRPr kumimoji="1" lang="ja-JP" altLang="en-US"/>
        </a:p>
      </dgm:t>
    </dgm:pt>
    <dgm:pt modelId="{4D05F659-29A4-4E33-A741-47E729958ADE}" type="pres">
      <dgm:prSet presAssocID="{F4EE77DC-EB40-492E-932C-703FC967065B}" presName="vert0" presStyleCnt="0">
        <dgm:presLayoutVars>
          <dgm:dir/>
          <dgm:animOne val="branch"/>
          <dgm:animLvl val="lvl"/>
        </dgm:presLayoutVars>
      </dgm:prSet>
      <dgm:spPr/>
    </dgm:pt>
    <dgm:pt modelId="{CBFD0241-7754-41D6-8149-1C2C0EF1E954}" type="pres">
      <dgm:prSet presAssocID="{EBCD04F8-24C4-40FB-8112-57D0ED462094}" presName="thickLine" presStyleLbl="alignNode1" presStyleIdx="0" presStyleCnt="1"/>
      <dgm:spPr/>
    </dgm:pt>
    <dgm:pt modelId="{978314B5-526F-4694-8C1B-2D9C645C5061}" type="pres">
      <dgm:prSet presAssocID="{EBCD04F8-24C4-40FB-8112-57D0ED462094}" presName="horz1" presStyleCnt="0"/>
      <dgm:spPr/>
    </dgm:pt>
    <dgm:pt modelId="{C51890F6-E91C-4BD0-9437-8BA8898DF2F3}" type="pres">
      <dgm:prSet presAssocID="{EBCD04F8-24C4-40FB-8112-57D0ED462094}" presName="tx1" presStyleLbl="revTx" presStyleIdx="0" presStyleCnt="10"/>
      <dgm:spPr/>
    </dgm:pt>
    <dgm:pt modelId="{9111359C-D1A5-4225-9F1F-1E3D61ACAA9C}" type="pres">
      <dgm:prSet presAssocID="{EBCD04F8-24C4-40FB-8112-57D0ED462094}" presName="vert1" presStyleCnt="0"/>
      <dgm:spPr/>
    </dgm:pt>
    <dgm:pt modelId="{43A2B18E-1003-4E55-83B5-754E59679E95}" type="pres">
      <dgm:prSet presAssocID="{13C70A27-1B7D-4EC1-8FC1-3D76C3771E8E}" presName="vertSpace2a" presStyleCnt="0"/>
      <dgm:spPr/>
    </dgm:pt>
    <dgm:pt modelId="{5AEA97E1-42A2-49B8-829A-6C4C24A428DF}" type="pres">
      <dgm:prSet presAssocID="{13C70A27-1B7D-4EC1-8FC1-3D76C3771E8E}" presName="horz2" presStyleCnt="0"/>
      <dgm:spPr/>
    </dgm:pt>
    <dgm:pt modelId="{9B4E62B7-5DC7-4113-875C-30E76F6E4DDF}" type="pres">
      <dgm:prSet presAssocID="{13C70A27-1B7D-4EC1-8FC1-3D76C3771E8E}" presName="horzSpace2" presStyleCnt="0"/>
      <dgm:spPr/>
    </dgm:pt>
    <dgm:pt modelId="{59C14F34-CC7C-46CD-A55E-76954306485E}" type="pres">
      <dgm:prSet presAssocID="{13C70A27-1B7D-4EC1-8FC1-3D76C3771E8E}" presName="tx2" presStyleLbl="revTx" presStyleIdx="1" presStyleCnt="10"/>
      <dgm:spPr/>
    </dgm:pt>
    <dgm:pt modelId="{73975614-C869-4C6C-B2D5-EC68DEF7145C}" type="pres">
      <dgm:prSet presAssocID="{13C70A27-1B7D-4EC1-8FC1-3D76C3771E8E}" presName="vert2" presStyleCnt="0"/>
      <dgm:spPr/>
    </dgm:pt>
    <dgm:pt modelId="{4ADA647B-7BB6-4B54-8BBF-A23D87E69785}" type="pres">
      <dgm:prSet presAssocID="{13C70A27-1B7D-4EC1-8FC1-3D76C3771E8E}" presName="thinLine2b" presStyleLbl="callout" presStyleIdx="0" presStyleCnt="9"/>
      <dgm:spPr/>
    </dgm:pt>
    <dgm:pt modelId="{AB3C9049-4517-4D7B-BA57-75EB7F40333C}" type="pres">
      <dgm:prSet presAssocID="{13C70A27-1B7D-4EC1-8FC1-3D76C3771E8E}" presName="vertSpace2b" presStyleCnt="0"/>
      <dgm:spPr/>
    </dgm:pt>
    <dgm:pt modelId="{9DEB8290-39BB-4886-88C3-3713B367AB6E}" type="pres">
      <dgm:prSet presAssocID="{7155CF3E-C5CF-4DFA-8702-5C64A16801D4}" presName="horz2" presStyleCnt="0"/>
      <dgm:spPr/>
    </dgm:pt>
    <dgm:pt modelId="{62990BF1-020A-4250-84F0-7E82C476A170}" type="pres">
      <dgm:prSet presAssocID="{7155CF3E-C5CF-4DFA-8702-5C64A16801D4}" presName="horzSpace2" presStyleCnt="0"/>
      <dgm:spPr/>
    </dgm:pt>
    <dgm:pt modelId="{709DBEEE-0063-4797-AB2D-D01A5B16ECB9}" type="pres">
      <dgm:prSet presAssocID="{7155CF3E-C5CF-4DFA-8702-5C64A16801D4}" presName="tx2" presStyleLbl="revTx" presStyleIdx="2" presStyleCnt="10"/>
      <dgm:spPr/>
    </dgm:pt>
    <dgm:pt modelId="{DCDDA18A-85D9-49C8-A451-E1331DD67A9A}" type="pres">
      <dgm:prSet presAssocID="{7155CF3E-C5CF-4DFA-8702-5C64A16801D4}" presName="vert2" presStyleCnt="0"/>
      <dgm:spPr/>
    </dgm:pt>
    <dgm:pt modelId="{9648A7C0-114D-4F8E-9524-F9A95A02506D}" type="pres">
      <dgm:prSet presAssocID="{7155CF3E-C5CF-4DFA-8702-5C64A16801D4}" presName="thinLine2b" presStyleLbl="callout" presStyleIdx="1" presStyleCnt="9"/>
      <dgm:spPr/>
    </dgm:pt>
    <dgm:pt modelId="{C5971463-F5D1-4E91-9D1E-EB4361D1ADE4}" type="pres">
      <dgm:prSet presAssocID="{7155CF3E-C5CF-4DFA-8702-5C64A16801D4}" presName="vertSpace2b" presStyleCnt="0"/>
      <dgm:spPr/>
    </dgm:pt>
    <dgm:pt modelId="{0C24B1F7-00E5-4BD8-AD97-0228E1BAA07B}" type="pres">
      <dgm:prSet presAssocID="{DC284653-1538-45F6-97EC-A462F154DAAB}" presName="horz2" presStyleCnt="0"/>
      <dgm:spPr/>
    </dgm:pt>
    <dgm:pt modelId="{FF8FD651-4AD9-476F-8B55-EEB3B6F9790E}" type="pres">
      <dgm:prSet presAssocID="{DC284653-1538-45F6-97EC-A462F154DAAB}" presName="horzSpace2" presStyleCnt="0"/>
      <dgm:spPr/>
    </dgm:pt>
    <dgm:pt modelId="{603D8171-62EB-415F-AFAE-FE186D2489F6}" type="pres">
      <dgm:prSet presAssocID="{DC284653-1538-45F6-97EC-A462F154DAAB}" presName="tx2" presStyleLbl="revTx" presStyleIdx="3" presStyleCnt="10"/>
      <dgm:spPr/>
    </dgm:pt>
    <dgm:pt modelId="{D9793BCB-E68F-420F-8B37-D715F2100069}" type="pres">
      <dgm:prSet presAssocID="{DC284653-1538-45F6-97EC-A462F154DAAB}" presName="vert2" presStyleCnt="0"/>
      <dgm:spPr/>
    </dgm:pt>
    <dgm:pt modelId="{BCEF9E99-22C8-4B1F-8819-F4F045991388}" type="pres">
      <dgm:prSet presAssocID="{DC284653-1538-45F6-97EC-A462F154DAAB}" presName="thinLine2b" presStyleLbl="callout" presStyleIdx="2" presStyleCnt="9"/>
      <dgm:spPr/>
    </dgm:pt>
    <dgm:pt modelId="{2146122C-3E37-4B89-A3AA-2EE3E2B0C920}" type="pres">
      <dgm:prSet presAssocID="{DC284653-1538-45F6-97EC-A462F154DAAB}" presName="vertSpace2b" presStyleCnt="0"/>
      <dgm:spPr/>
    </dgm:pt>
    <dgm:pt modelId="{218624E1-95B1-41E2-889A-B0F4E2A66154}" type="pres">
      <dgm:prSet presAssocID="{35888FBE-8C67-4263-8FC1-647547BBE02D}" presName="horz2" presStyleCnt="0"/>
      <dgm:spPr/>
    </dgm:pt>
    <dgm:pt modelId="{701CFBD6-73F7-4C1B-9EDA-010764875749}" type="pres">
      <dgm:prSet presAssocID="{35888FBE-8C67-4263-8FC1-647547BBE02D}" presName="horzSpace2" presStyleCnt="0"/>
      <dgm:spPr/>
    </dgm:pt>
    <dgm:pt modelId="{9C63EF3F-FE76-42D0-A2A3-318BEB274BD4}" type="pres">
      <dgm:prSet presAssocID="{35888FBE-8C67-4263-8FC1-647547BBE02D}" presName="tx2" presStyleLbl="revTx" presStyleIdx="4" presStyleCnt="10"/>
      <dgm:spPr/>
    </dgm:pt>
    <dgm:pt modelId="{0D30E0E3-73EC-4209-B12C-05C56E38892D}" type="pres">
      <dgm:prSet presAssocID="{35888FBE-8C67-4263-8FC1-647547BBE02D}" presName="vert2" presStyleCnt="0"/>
      <dgm:spPr/>
    </dgm:pt>
    <dgm:pt modelId="{90F82499-EFF3-4BC7-86BF-37B6F1DC1C64}" type="pres">
      <dgm:prSet presAssocID="{35888FBE-8C67-4263-8FC1-647547BBE02D}" presName="thinLine2b" presStyleLbl="callout" presStyleIdx="3" presStyleCnt="9"/>
      <dgm:spPr/>
    </dgm:pt>
    <dgm:pt modelId="{DB5DAE5D-DA5F-4331-9770-F7D6FD13932F}" type="pres">
      <dgm:prSet presAssocID="{35888FBE-8C67-4263-8FC1-647547BBE02D}" presName="vertSpace2b" presStyleCnt="0"/>
      <dgm:spPr/>
    </dgm:pt>
    <dgm:pt modelId="{5FD74720-B43F-4491-AD52-E039C1765CB2}" type="pres">
      <dgm:prSet presAssocID="{B9DBDD7A-1784-4F75-9556-2CE50F32B3D9}" presName="horz2" presStyleCnt="0"/>
      <dgm:spPr/>
    </dgm:pt>
    <dgm:pt modelId="{35B33C26-1492-4881-B756-7FDB2454EE31}" type="pres">
      <dgm:prSet presAssocID="{B9DBDD7A-1784-4F75-9556-2CE50F32B3D9}" presName="horzSpace2" presStyleCnt="0"/>
      <dgm:spPr/>
    </dgm:pt>
    <dgm:pt modelId="{11EC4893-6E47-4253-8ED4-4CCF14947E7D}" type="pres">
      <dgm:prSet presAssocID="{B9DBDD7A-1784-4F75-9556-2CE50F32B3D9}" presName="tx2" presStyleLbl="revTx" presStyleIdx="5" presStyleCnt="10"/>
      <dgm:spPr/>
    </dgm:pt>
    <dgm:pt modelId="{51FA7C3C-0550-49DA-AC8C-ECE8E63AE33E}" type="pres">
      <dgm:prSet presAssocID="{B9DBDD7A-1784-4F75-9556-2CE50F32B3D9}" presName="vert2" presStyleCnt="0"/>
      <dgm:spPr/>
    </dgm:pt>
    <dgm:pt modelId="{3564221C-8D25-4E79-951A-E06137BF560A}" type="pres">
      <dgm:prSet presAssocID="{B9DBDD7A-1784-4F75-9556-2CE50F32B3D9}" presName="thinLine2b" presStyleLbl="callout" presStyleIdx="4" presStyleCnt="9"/>
      <dgm:spPr/>
    </dgm:pt>
    <dgm:pt modelId="{C3C6987D-6275-44CF-B896-50E686F09F2A}" type="pres">
      <dgm:prSet presAssocID="{B9DBDD7A-1784-4F75-9556-2CE50F32B3D9}" presName="vertSpace2b" presStyleCnt="0"/>
      <dgm:spPr/>
    </dgm:pt>
    <dgm:pt modelId="{68AE85CC-B379-4F39-BB88-3705404757FF}" type="pres">
      <dgm:prSet presAssocID="{09B26D14-ADD5-45D5-99AA-E25E2071A8EE}" presName="horz2" presStyleCnt="0"/>
      <dgm:spPr/>
    </dgm:pt>
    <dgm:pt modelId="{94E579D2-6A01-47D9-A2D2-0F493D15F311}" type="pres">
      <dgm:prSet presAssocID="{09B26D14-ADD5-45D5-99AA-E25E2071A8EE}" presName="horzSpace2" presStyleCnt="0"/>
      <dgm:spPr/>
    </dgm:pt>
    <dgm:pt modelId="{6DD7812F-6DD9-4607-9AC7-7C1904384960}" type="pres">
      <dgm:prSet presAssocID="{09B26D14-ADD5-45D5-99AA-E25E2071A8EE}" presName="tx2" presStyleLbl="revTx" presStyleIdx="6" presStyleCnt="10" custLinFactNeighborX="-792"/>
      <dgm:spPr/>
    </dgm:pt>
    <dgm:pt modelId="{DAA7F586-A38B-47FE-ACEF-A7693FC6CD5B}" type="pres">
      <dgm:prSet presAssocID="{09B26D14-ADD5-45D5-99AA-E25E2071A8EE}" presName="vert2" presStyleCnt="0"/>
      <dgm:spPr/>
    </dgm:pt>
    <dgm:pt modelId="{B365D75A-1E00-45B2-81CD-CE7CD94E07A2}" type="pres">
      <dgm:prSet presAssocID="{09B26D14-ADD5-45D5-99AA-E25E2071A8EE}" presName="thinLine2b" presStyleLbl="callout" presStyleIdx="5" presStyleCnt="9"/>
      <dgm:spPr/>
    </dgm:pt>
    <dgm:pt modelId="{7FD316C7-95EB-448E-9779-61A61C041FF2}" type="pres">
      <dgm:prSet presAssocID="{09B26D14-ADD5-45D5-99AA-E25E2071A8EE}" presName="vertSpace2b" presStyleCnt="0"/>
      <dgm:spPr/>
    </dgm:pt>
    <dgm:pt modelId="{02BA1F63-CFA6-4A3D-9F03-CFE86E238E29}" type="pres">
      <dgm:prSet presAssocID="{EC809AD2-82B5-4B5E-9948-D08634659774}" presName="horz2" presStyleCnt="0"/>
      <dgm:spPr/>
    </dgm:pt>
    <dgm:pt modelId="{E83DB6F6-593F-48B3-BF01-8D4DFA692AB8}" type="pres">
      <dgm:prSet presAssocID="{EC809AD2-82B5-4B5E-9948-D08634659774}" presName="horzSpace2" presStyleCnt="0"/>
      <dgm:spPr/>
    </dgm:pt>
    <dgm:pt modelId="{08F037E6-0A89-4DCB-BC0C-8728E9463B47}" type="pres">
      <dgm:prSet presAssocID="{EC809AD2-82B5-4B5E-9948-D08634659774}" presName="tx2" presStyleLbl="revTx" presStyleIdx="7" presStyleCnt="10"/>
      <dgm:spPr/>
    </dgm:pt>
    <dgm:pt modelId="{3DCF056E-1534-4107-8C62-3C210F55B8E6}" type="pres">
      <dgm:prSet presAssocID="{EC809AD2-82B5-4B5E-9948-D08634659774}" presName="vert2" presStyleCnt="0"/>
      <dgm:spPr/>
    </dgm:pt>
    <dgm:pt modelId="{95F9F1D3-E3EE-42D3-840E-2EAC6F56E434}" type="pres">
      <dgm:prSet presAssocID="{EC809AD2-82B5-4B5E-9948-D08634659774}" presName="thinLine2b" presStyleLbl="callout" presStyleIdx="6" presStyleCnt="9"/>
      <dgm:spPr/>
    </dgm:pt>
    <dgm:pt modelId="{638A04BB-C918-48A7-A8D0-CE98652C2235}" type="pres">
      <dgm:prSet presAssocID="{EC809AD2-82B5-4B5E-9948-D08634659774}" presName="vertSpace2b" presStyleCnt="0"/>
      <dgm:spPr/>
    </dgm:pt>
    <dgm:pt modelId="{385F477A-E5D1-4943-8E7C-567212333A0A}" type="pres">
      <dgm:prSet presAssocID="{E3CE0DDE-8339-4B1D-9D79-F65C6B0F445C}" presName="horz2" presStyleCnt="0"/>
      <dgm:spPr/>
    </dgm:pt>
    <dgm:pt modelId="{8C8E1B59-7AB9-46B7-95AB-199D79FC7B50}" type="pres">
      <dgm:prSet presAssocID="{E3CE0DDE-8339-4B1D-9D79-F65C6B0F445C}" presName="horzSpace2" presStyleCnt="0"/>
      <dgm:spPr/>
    </dgm:pt>
    <dgm:pt modelId="{B0A75696-F49E-4045-9B81-1D55F1883AFE}" type="pres">
      <dgm:prSet presAssocID="{E3CE0DDE-8339-4B1D-9D79-F65C6B0F445C}" presName="tx2" presStyleLbl="revTx" presStyleIdx="8" presStyleCnt="10"/>
      <dgm:spPr/>
    </dgm:pt>
    <dgm:pt modelId="{1C6B5F8A-5F4C-4A41-9DF6-C518509A907D}" type="pres">
      <dgm:prSet presAssocID="{E3CE0DDE-8339-4B1D-9D79-F65C6B0F445C}" presName="vert2" presStyleCnt="0"/>
      <dgm:spPr/>
    </dgm:pt>
    <dgm:pt modelId="{87A5CA77-E190-4F0C-9AF6-DCC817573619}" type="pres">
      <dgm:prSet presAssocID="{E3CE0DDE-8339-4B1D-9D79-F65C6B0F445C}" presName="thinLine2b" presStyleLbl="callout" presStyleIdx="7" presStyleCnt="9"/>
      <dgm:spPr/>
    </dgm:pt>
    <dgm:pt modelId="{4B9463D5-F570-48C4-8F27-6753397877EA}" type="pres">
      <dgm:prSet presAssocID="{E3CE0DDE-8339-4B1D-9D79-F65C6B0F445C}" presName="vertSpace2b" presStyleCnt="0"/>
      <dgm:spPr/>
    </dgm:pt>
    <dgm:pt modelId="{7AA04707-F28C-4492-ABBA-3C68FA367025}" type="pres">
      <dgm:prSet presAssocID="{E4529FB5-53FE-41D1-BAB9-BBD778D83E2A}" presName="horz2" presStyleCnt="0"/>
      <dgm:spPr/>
    </dgm:pt>
    <dgm:pt modelId="{8CE096F6-D7FE-4F7F-8631-603A13DF38CB}" type="pres">
      <dgm:prSet presAssocID="{E4529FB5-53FE-41D1-BAB9-BBD778D83E2A}" presName="horzSpace2" presStyleCnt="0"/>
      <dgm:spPr/>
    </dgm:pt>
    <dgm:pt modelId="{6A0D3AEF-BD84-4C93-A82C-41D239E6E616}" type="pres">
      <dgm:prSet presAssocID="{E4529FB5-53FE-41D1-BAB9-BBD778D83E2A}" presName="tx2" presStyleLbl="revTx" presStyleIdx="9" presStyleCnt="10"/>
      <dgm:spPr/>
    </dgm:pt>
    <dgm:pt modelId="{A43C32EE-8A80-46D2-8F9A-DC95FD38E3A1}" type="pres">
      <dgm:prSet presAssocID="{E4529FB5-53FE-41D1-BAB9-BBD778D83E2A}" presName="vert2" presStyleCnt="0"/>
      <dgm:spPr/>
    </dgm:pt>
    <dgm:pt modelId="{297067C6-D55F-4AEE-8978-782DEBA26E84}" type="pres">
      <dgm:prSet presAssocID="{E4529FB5-53FE-41D1-BAB9-BBD778D83E2A}" presName="thinLine2b" presStyleLbl="callout" presStyleIdx="8" presStyleCnt="9"/>
      <dgm:spPr/>
    </dgm:pt>
    <dgm:pt modelId="{5D612AEB-CB37-41B9-9965-B4583D12A6E3}" type="pres">
      <dgm:prSet presAssocID="{E4529FB5-53FE-41D1-BAB9-BBD778D83E2A}" presName="vertSpace2b" presStyleCnt="0"/>
      <dgm:spPr/>
    </dgm:pt>
  </dgm:ptLst>
  <dgm:cxnLst>
    <dgm:cxn modelId="{F79AEC11-6BBD-4257-9FC2-4494FAA0B09E}" srcId="{F4EE77DC-EB40-492E-932C-703FC967065B}" destId="{EBCD04F8-24C4-40FB-8112-57D0ED462094}" srcOrd="0" destOrd="0" parTransId="{58CC2B3D-9DF8-471B-BB08-0B0474B0E2E9}" sibTransId="{74D44B0C-04A3-4E9E-B46E-64B41DDCF02C}"/>
    <dgm:cxn modelId="{058EEB18-018E-4C00-AE6C-D98AD6706397}" srcId="{EBCD04F8-24C4-40FB-8112-57D0ED462094}" destId="{7155CF3E-C5CF-4DFA-8702-5C64A16801D4}" srcOrd="1" destOrd="0" parTransId="{4CD9DB51-95D7-4AAA-BB4A-FDB30ED48206}" sibTransId="{503CDF02-E386-4DA9-A286-1D85782D3A31}"/>
    <dgm:cxn modelId="{81D0862E-56A8-40E2-8495-E7EBDB5E5BF3}" srcId="{EBCD04F8-24C4-40FB-8112-57D0ED462094}" destId="{13C70A27-1B7D-4EC1-8FC1-3D76C3771E8E}" srcOrd="0" destOrd="0" parTransId="{0809E219-6F0E-4D42-A92A-86BDC9917F06}" sibTransId="{6CF9CC07-BC0C-4A9A-BE52-3DBE5F6464D7}"/>
    <dgm:cxn modelId="{C4B2DF5F-4810-4C86-B63E-FEDB59B75AC3}" type="presOf" srcId="{B9DBDD7A-1784-4F75-9556-2CE50F32B3D9}" destId="{11EC4893-6E47-4253-8ED4-4CCF14947E7D}" srcOrd="0" destOrd="0" presId="urn:microsoft.com/office/officeart/2008/layout/LinedList"/>
    <dgm:cxn modelId="{162D1B4B-94C3-49F9-8187-A3B34A2CFCD5}" srcId="{EBCD04F8-24C4-40FB-8112-57D0ED462094}" destId="{EC809AD2-82B5-4B5E-9948-D08634659774}" srcOrd="6" destOrd="0" parTransId="{881823FC-E1C0-4CC2-A5CB-4B0B6E9F1026}" sibTransId="{00496603-2238-4B43-851D-CB8C424E6241}"/>
    <dgm:cxn modelId="{F795624C-73BE-4342-9F22-E218647D5CF3}" srcId="{EBCD04F8-24C4-40FB-8112-57D0ED462094}" destId="{E3CE0DDE-8339-4B1D-9D79-F65C6B0F445C}" srcOrd="7" destOrd="0" parTransId="{4B0252E3-13D8-419A-A64E-C1224AAC6D8B}" sibTransId="{A16D269D-0EC1-43F0-A8D6-E97A49225E16}"/>
    <dgm:cxn modelId="{F8BE6C56-ACA4-49D0-B986-DD9546DA1107}" srcId="{EBCD04F8-24C4-40FB-8112-57D0ED462094}" destId="{E4529FB5-53FE-41D1-BAB9-BBD778D83E2A}" srcOrd="8" destOrd="0" parTransId="{4B4331E3-345B-4784-930F-BB20571E5377}" sibTransId="{FBD8C18A-EF89-456B-BD52-AA2187ED0A68}"/>
    <dgm:cxn modelId="{2558C07F-73C3-47C6-A276-00CA884EA805}" type="presOf" srcId="{E4529FB5-53FE-41D1-BAB9-BBD778D83E2A}" destId="{6A0D3AEF-BD84-4C93-A82C-41D239E6E616}" srcOrd="0" destOrd="0" presId="urn:microsoft.com/office/officeart/2008/layout/LinedList"/>
    <dgm:cxn modelId="{B5CA3A8C-E0B5-49C0-827C-2742D4782348}" type="presOf" srcId="{F4EE77DC-EB40-492E-932C-703FC967065B}" destId="{4D05F659-29A4-4E33-A741-47E729958ADE}" srcOrd="0" destOrd="0" presId="urn:microsoft.com/office/officeart/2008/layout/LinedList"/>
    <dgm:cxn modelId="{2F2C7EA0-3FC9-4BE9-9D36-78C4D8897CB8}" srcId="{EBCD04F8-24C4-40FB-8112-57D0ED462094}" destId="{B9DBDD7A-1784-4F75-9556-2CE50F32B3D9}" srcOrd="4" destOrd="0" parTransId="{3604E1E1-2087-4488-949E-256957385EC2}" sibTransId="{11946150-505A-4EED-9E0A-080CF63B7199}"/>
    <dgm:cxn modelId="{A8A557AF-1A50-40D9-B2D9-CB5EC04C5425}" type="presOf" srcId="{E3CE0DDE-8339-4B1D-9D79-F65C6B0F445C}" destId="{B0A75696-F49E-4045-9B81-1D55F1883AFE}" srcOrd="0" destOrd="0" presId="urn:microsoft.com/office/officeart/2008/layout/LinedList"/>
    <dgm:cxn modelId="{4AEE59C5-830F-4D14-A07C-B35CC812FE22}" type="presOf" srcId="{13C70A27-1B7D-4EC1-8FC1-3D76C3771E8E}" destId="{59C14F34-CC7C-46CD-A55E-76954306485E}" srcOrd="0" destOrd="0" presId="urn:microsoft.com/office/officeart/2008/layout/LinedList"/>
    <dgm:cxn modelId="{D45B78C7-DF0E-4B8B-8137-E33AEA370944}" type="presOf" srcId="{EBCD04F8-24C4-40FB-8112-57D0ED462094}" destId="{C51890F6-E91C-4BD0-9437-8BA8898DF2F3}" srcOrd="0" destOrd="0" presId="urn:microsoft.com/office/officeart/2008/layout/LinedList"/>
    <dgm:cxn modelId="{C0A16AC9-87E8-4C0E-BC33-9027C4EBB6DF}" srcId="{EBCD04F8-24C4-40FB-8112-57D0ED462094}" destId="{35888FBE-8C67-4263-8FC1-647547BBE02D}" srcOrd="3" destOrd="0" parTransId="{ED4981E5-6A00-431D-855A-60AFEB2D800A}" sibTransId="{47964654-2572-46DE-A19C-3D1925501C53}"/>
    <dgm:cxn modelId="{136164CA-F6CE-4EDE-B490-1A3737EF89DB}" srcId="{EBCD04F8-24C4-40FB-8112-57D0ED462094}" destId="{09B26D14-ADD5-45D5-99AA-E25E2071A8EE}" srcOrd="5" destOrd="0" parTransId="{2D342289-167C-4FB6-A0FB-BEF3B7987EBC}" sibTransId="{39D87BD1-26ED-4B47-9910-B7BF3C09B96E}"/>
    <dgm:cxn modelId="{BB906FCC-34A8-4755-979F-1CDF5902396B}" type="presOf" srcId="{09B26D14-ADD5-45D5-99AA-E25E2071A8EE}" destId="{6DD7812F-6DD9-4607-9AC7-7C1904384960}" srcOrd="0" destOrd="0" presId="urn:microsoft.com/office/officeart/2008/layout/LinedList"/>
    <dgm:cxn modelId="{BF3D4DCD-250B-4899-AA16-3AE398A1B8E1}" type="presOf" srcId="{7155CF3E-C5CF-4DFA-8702-5C64A16801D4}" destId="{709DBEEE-0063-4797-AB2D-D01A5B16ECB9}" srcOrd="0" destOrd="0" presId="urn:microsoft.com/office/officeart/2008/layout/LinedList"/>
    <dgm:cxn modelId="{10EF29D2-323D-4E3E-A354-5069E2E0E85D}" srcId="{EBCD04F8-24C4-40FB-8112-57D0ED462094}" destId="{DC284653-1538-45F6-97EC-A462F154DAAB}" srcOrd="2" destOrd="0" parTransId="{8D979BEB-E7B1-4BAB-9F41-F9A1488882E7}" sibTransId="{DE98B754-940E-48A1-84EB-AA6902BB136C}"/>
    <dgm:cxn modelId="{D7DC21E3-7616-49B7-9A67-79C1FA5CFF02}" type="presOf" srcId="{DC284653-1538-45F6-97EC-A462F154DAAB}" destId="{603D8171-62EB-415F-AFAE-FE186D2489F6}" srcOrd="0" destOrd="0" presId="urn:microsoft.com/office/officeart/2008/layout/LinedList"/>
    <dgm:cxn modelId="{93E857EA-6C12-40CD-AE7F-5826E6869510}" type="presOf" srcId="{35888FBE-8C67-4263-8FC1-647547BBE02D}" destId="{9C63EF3F-FE76-42D0-A2A3-318BEB274BD4}" srcOrd="0" destOrd="0" presId="urn:microsoft.com/office/officeart/2008/layout/LinedList"/>
    <dgm:cxn modelId="{004455FC-10DD-4A3D-B130-3A0F719CCCD7}" type="presOf" srcId="{EC809AD2-82B5-4B5E-9948-D08634659774}" destId="{08F037E6-0A89-4DCB-BC0C-8728E9463B47}" srcOrd="0" destOrd="0" presId="urn:microsoft.com/office/officeart/2008/layout/LinedList"/>
    <dgm:cxn modelId="{C715AB3C-3880-41A3-BE51-53ACA7B787A6}" type="presParOf" srcId="{4D05F659-29A4-4E33-A741-47E729958ADE}" destId="{CBFD0241-7754-41D6-8149-1C2C0EF1E954}" srcOrd="0" destOrd="0" presId="urn:microsoft.com/office/officeart/2008/layout/LinedList"/>
    <dgm:cxn modelId="{E328152A-DEB4-42DB-86DF-17CA27AC9250}" type="presParOf" srcId="{4D05F659-29A4-4E33-A741-47E729958ADE}" destId="{978314B5-526F-4694-8C1B-2D9C645C5061}" srcOrd="1" destOrd="0" presId="urn:microsoft.com/office/officeart/2008/layout/LinedList"/>
    <dgm:cxn modelId="{B1F96319-237E-422E-9A24-6708FACC3EFA}" type="presParOf" srcId="{978314B5-526F-4694-8C1B-2D9C645C5061}" destId="{C51890F6-E91C-4BD0-9437-8BA8898DF2F3}" srcOrd="0" destOrd="0" presId="urn:microsoft.com/office/officeart/2008/layout/LinedList"/>
    <dgm:cxn modelId="{8CC2F229-9030-4074-AF54-F9B6CDB428D0}" type="presParOf" srcId="{978314B5-526F-4694-8C1B-2D9C645C5061}" destId="{9111359C-D1A5-4225-9F1F-1E3D61ACAA9C}" srcOrd="1" destOrd="0" presId="urn:microsoft.com/office/officeart/2008/layout/LinedList"/>
    <dgm:cxn modelId="{4E75F568-0CE7-401C-9BA6-DE48FA2B4816}" type="presParOf" srcId="{9111359C-D1A5-4225-9F1F-1E3D61ACAA9C}" destId="{43A2B18E-1003-4E55-83B5-754E59679E95}" srcOrd="0" destOrd="0" presId="urn:microsoft.com/office/officeart/2008/layout/LinedList"/>
    <dgm:cxn modelId="{F825F77A-FFFC-4ED2-AB7C-94C70750A2C0}" type="presParOf" srcId="{9111359C-D1A5-4225-9F1F-1E3D61ACAA9C}" destId="{5AEA97E1-42A2-49B8-829A-6C4C24A428DF}" srcOrd="1" destOrd="0" presId="urn:microsoft.com/office/officeart/2008/layout/LinedList"/>
    <dgm:cxn modelId="{BF1D5995-1EBB-4AF8-806C-3F3845B76C94}" type="presParOf" srcId="{5AEA97E1-42A2-49B8-829A-6C4C24A428DF}" destId="{9B4E62B7-5DC7-4113-875C-30E76F6E4DDF}" srcOrd="0" destOrd="0" presId="urn:microsoft.com/office/officeart/2008/layout/LinedList"/>
    <dgm:cxn modelId="{AB0EE9B8-80D6-41CC-989B-25C8BB76534E}" type="presParOf" srcId="{5AEA97E1-42A2-49B8-829A-6C4C24A428DF}" destId="{59C14F34-CC7C-46CD-A55E-76954306485E}" srcOrd="1" destOrd="0" presId="urn:microsoft.com/office/officeart/2008/layout/LinedList"/>
    <dgm:cxn modelId="{AEB7D303-12DD-4B98-90C7-31CEBCB5C843}" type="presParOf" srcId="{5AEA97E1-42A2-49B8-829A-6C4C24A428DF}" destId="{73975614-C869-4C6C-B2D5-EC68DEF7145C}" srcOrd="2" destOrd="0" presId="urn:microsoft.com/office/officeart/2008/layout/LinedList"/>
    <dgm:cxn modelId="{D8A55780-E6F1-4EFC-BE83-2898D6318A62}" type="presParOf" srcId="{9111359C-D1A5-4225-9F1F-1E3D61ACAA9C}" destId="{4ADA647B-7BB6-4B54-8BBF-A23D87E69785}" srcOrd="2" destOrd="0" presId="urn:microsoft.com/office/officeart/2008/layout/LinedList"/>
    <dgm:cxn modelId="{DDC09ECB-5C79-4C4E-A4FA-E23E6496AC03}" type="presParOf" srcId="{9111359C-D1A5-4225-9F1F-1E3D61ACAA9C}" destId="{AB3C9049-4517-4D7B-BA57-75EB7F40333C}" srcOrd="3" destOrd="0" presId="urn:microsoft.com/office/officeart/2008/layout/LinedList"/>
    <dgm:cxn modelId="{69038690-6307-4038-92F3-091A378ABB14}" type="presParOf" srcId="{9111359C-D1A5-4225-9F1F-1E3D61ACAA9C}" destId="{9DEB8290-39BB-4886-88C3-3713B367AB6E}" srcOrd="4" destOrd="0" presId="urn:microsoft.com/office/officeart/2008/layout/LinedList"/>
    <dgm:cxn modelId="{F3AA0E38-F6B8-43B4-BB75-4EAB0A4A4077}" type="presParOf" srcId="{9DEB8290-39BB-4886-88C3-3713B367AB6E}" destId="{62990BF1-020A-4250-84F0-7E82C476A170}" srcOrd="0" destOrd="0" presId="urn:microsoft.com/office/officeart/2008/layout/LinedList"/>
    <dgm:cxn modelId="{92FA0B7C-1711-4B87-B462-EB2782434A5C}" type="presParOf" srcId="{9DEB8290-39BB-4886-88C3-3713B367AB6E}" destId="{709DBEEE-0063-4797-AB2D-D01A5B16ECB9}" srcOrd="1" destOrd="0" presId="urn:microsoft.com/office/officeart/2008/layout/LinedList"/>
    <dgm:cxn modelId="{30A49CAB-35E6-431C-BFDE-C24011ACA35F}" type="presParOf" srcId="{9DEB8290-39BB-4886-88C3-3713B367AB6E}" destId="{DCDDA18A-85D9-49C8-A451-E1331DD67A9A}" srcOrd="2" destOrd="0" presId="urn:microsoft.com/office/officeart/2008/layout/LinedList"/>
    <dgm:cxn modelId="{56C859D0-6BF5-4824-81E1-7FBB5C96CEE7}" type="presParOf" srcId="{9111359C-D1A5-4225-9F1F-1E3D61ACAA9C}" destId="{9648A7C0-114D-4F8E-9524-F9A95A02506D}" srcOrd="5" destOrd="0" presId="urn:microsoft.com/office/officeart/2008/layout/LinedList"/>
    <dgm:cxn modelId="{072734E7-3027-464C-83A9-53C3938B4ED4}" type="presParOf" srcId="{9111359C-D1A5-4225-9F1F-1E3D61ACAA9C}" destId="{C5971463-F5D1-4E91-9D1E-EB4361D1ADE4}" srcOrd="6" destOrd="0" presId="urn:microsoft.com/office/officeart/2008/layout/LinedList"/>
    <dgm:cxn modelId="{94C08E41-23F4-4B10-AE60-556155DFB900}" type="presParOf" srcId="{9111359C-D1A5-4225-9F1F-1E3D61ACAA9C}" destId="{0C24B1F7-00E5-4BD8-AD97-0228E1BAA07B}" srcOrd="7" destOrd="0" presId="urn:microsoft.com/office/officeart/2008/layout/LinedList"/>
    <dgm:cxn modelId="{C68A53A0-C5F8-4570-8F81-907958D398C2}" type="presParOf" srcId="{0C24B1F7-00E5-4BD8-AD97-0228E1BAA07B}" destId="{FF8FD651-4AD9-476F-8B55-EEB3B6F9790E}" srcOrd="0" destOrd="0" presId="urn:microsoft.com/office/officeart/2008/layout/LinedList"/>
    <dgm:cxn modelId="{B1FABB02-2066-4DF4-B81D-075387EEFE43}" type="presParOf" srcId="{0C24B1F7-00E5-4BD8-AD97-0228E1BAA07B}" destId="{603D8171-62EB-415F-AFAE-FE186D2489F6}" srcOrd="1" destOrd="0" presId="urn:microsoft.com/office/officeart/2008/layout/LinedList"/>
    <dgm:cxn modelId="{FEBAD48B-67D1-4D30-A171-EE8AE097A2A4}" type="presParOf" srcId="{0C24B1F7-00E5-4BD8-AD97-0228E1BAA07B}" destId="{D9793BCB-E68F-420F-8B37-D715F2100069}" srcOrd="2" destOrd="0" presId="urn:microsoft.com/office/officeart/2008/layout/LinedList"/>
    <dgm:cxn modelId="{298EA46F-1796-49E7-BD9B-02699F5C3837}" type="presParOf" srcId="{9111359C-D1A5-4225-9F1F-1E3D61ACAA9C}" destId="{BCEF9E99-22C8-4B1F-8819-F4F045991388}" srcOrd="8" destOrd="0" presId="urn:microsoft.com/office/officeart/2008/layout/LinedList"/>
    <dgm:cxn modelId="{7E2B8E89-A213-47A6-ADD8-FBAABEF6C9B6}" type="presParOf" srcId="{9111359C-D1A5-4225-9F1F-1E3D61ACAA9C}" destId="{2146122C-3E37-4B89-A3AA-2EE3E2B0C920}" srcOrd="9" destOrd="0" presId="urn:microsoft.com/office/officeart/2008/layout/LinedList"/>
    <dgm:cxn modelId="{09F6CEA0-8E98-4E84-95A5-51A05680570F}" type="presParOf" srcId="{9111359C-D1A5-4225-9F1F-1E3D61ACAA9C}" destId="{218624E1-95B1-41E2-889A-B0F4E2A66154}" srcOrd="10" destOrd="0" presId="urn:microsoft.com/office/officeart/2008/layout/LinedList"/>
    <dgm:cxn modelId="{0CA9A484-76DE-4E89-B41B-C0161001ABD9}" type="presParOf" srcId="{218624E1-95B1-41E2-889A-B0F4E2A66154}" destId="{701CFBD6-73F7-4C1B-9EDA-010764875749}" srcOrd="0" destOrd="0" presId="urn:microsoft.com/office/officeart/2008/layout/LinedList"/>
    <dgm:cxn modelId="{140E27A7-3217-4791-90E5-73842AC74AC7}" type="presParOf" srcId="{218624E1-95B1-41E2-889A-B0F4E2A66154}" destId="{9C63EF3F-FE76-42D0-A2A3-318BEB274BD4}" srcOrd="1" destOrd="0" presId="urn:microsoft.com/office/officeart/2008/layout/LinedList"/>
    <dgm:cxn modelId="{76BE974D-6B52-4172-99FD-FCC7B6DEF436}" type="presParOf" srcId="{218624E1-95B1-41E2-889A-B0F4E2A66154}" destId="{0D30E0E3-73EC-4209-B12C-05C56E38892D}" srcOrd="2" destOrd="0" presId="urn:microsoft.com/office/officeart/2008/layout/LinedList"/>
    <dgm:cxn modelId="{23AC4207-5FBD-42B3-8E6E-75269F0F3E4F}" type="presParOf" srcId="{9111359C-D1A5-4225-9F1F-1E3D61ACAA9C}" destId="{90F82499-EFF3-4BC7-86BF-37B6F1DC1C64}" srcOrd="11" destOrd="0" presId="urn:microsoft.com/office/officeart/2008/layout/LinedList"/>
    <dgm:cxn modelId="{72AC4218-8CFB-4426-BEC7-86D7B5C524DA}" type="presParOf" srcId="{9111359C-D1A5-4225-9F1F-1E3D61ACAA9C}" destId="{DB5DAE5D-DA5F-4331-9770-F7D6FD13932F}" srcOrd="12" destOrd="0" presId="urn:microsoft.com/office/officeart/2008/layout/LinedList"/>
    <dgm:cxn modelId="{851889ED-76AB-4F97-9848-EF501D29A235}" type="presParOf" srcId="{9111359C-D1A5-4225-9F1F-1E3D61ACAA9C}" destId="{5FD74720-B43F-4491-AD52-E039C1765CB2}" srcOrd="13" destOrd="0" presId="urn:microsoft.com/office/officeart/2008/layout/LinedList"/>
    <dgm:cxn modelId="{0AAD550E-22CD-45E5-90FE-499FF1C499C4}" type="presParOf" srcId="{5FD74720-B43F-4491-AD52-E039C1765CB2}" destId="{35B33C26-1492-4881-B756-7FDB2454EE31}" srcOrd="0" destOrd="0" presId="urn:microsoft.com/office/officeart/2008/layout/LinedList"/>
    <dgm:cxn modelId="{E57A104D-C940-474D-A247-B814EF840C72}" type="presParOf" srcId="{5FD74720-B43F-4491-AD52-E039C1765CB2}" destId="{11EC4893-6E47-4253-8ED4-4CCF14947E7D}" srcOrd="1" destOrd="0" presId="urn:microsoft.com/office/officeart/2008/layout/LinedList"/>
    <dgm:cxn modelId="{253C8ABC-610E-4A6E-A45F-ED4744D253D2}" type="presParOf" srcId="{5FD74720-B43F-4491-AD52-E039C1765CB2}" destId="{51FA7C3C-0550-49DA-AC8C-ECE8E63AE33E}" srcOrd="2" destOrd="0" presId="urn:microsoft.com/office/officeart/2008/layout/LinedList"/>
    <dgm:cxn modelId="{CEEE5DD1-15D8-4F64-AFD3-25C5DA2491A3}" type="presParOf" srcId="{9111359C-D1A5-4225-9F1F-1E3D61ACAA9C}" destId="{3564221C-8D25-4E79-951A-E06137BF560A}" srcOrd="14" destOrd="0" presId="urn:microsoft.com/office/officeart/2008/layout/LinedList"/>
    <dgm:cxn modelId="{DD237A94-5406-4C10-9AC1-B071B8341485}" type="presParOf" srcId="{9111359C-D1A5-4225-9F1F-1E3D61ACAA9C}" destId="{C3C6987D-6275-44CF-B896-50E686F09F2A}" srcOrd="15" destOrd="0" presId="urn:microsoft.com/office/officeart/2008/layout/LinedList"/>
    <dgm:cxn modelId="{A3CC3ADB-0CB1-4627-84DE-77E82FCC77EC}" type="presParOf" srcId="{9111359C-D1A5-4225-9F1F-1E3D61ACAA9C}" destId="{68AE85CC-B379-4F39-BB88-3705404757FF}" srcOrd="16" destOrd="0" presId="urn:microsoft.com/office/officeart/2008/layout/LinedList"/>
    <dgm:cxn modelId="{74AC3DFE-0138-457F-AA21-79CF32F076A4}" type="presParOf" srcId="{68AE85CC-B379-4F39-BB88-3705404757FF}" destId="{94E579D2-6A01-47D9-A2D2-0F493D15F311}" srcOrd="0" destOrd="0" presId="urn:microsoft.com/office/officeart/2008/layout/LinedList"/>
    <dgm:cxn modelId="{A4790D6D-B285-48C2-A0B2-857245D8E4F7}" type="presParOf" srcId="{68AE85CC-B379-4F39-BB88-3705404757FF}" destId="{6DD7812F-6DD9-4607-9AC7-7C1904384960}" srcOrd="1" destOrd="0" presId="urn:microsoft.com/office/officeart/2008/layout/LinedList"/>
    <dgm:cxn modelId="{5A798352-8D9D-4AEC-9CBD-915B0DE497D8}" type="presParOf" srcId="{68AE85CC-B379-4F39-BB88-3705404757FF}" destId="{DAA7F586-A38B-47FE-ACEF-A7693FC6CD5B}" srcOrd="2" destOrd="0" presId="urn:microsoft.com/office/officeart/2008/layout/LinedList"/>
    <dgm:cxn modelId="{857BD54C-701A-42F1-9434-EEEFD416D9B6}" type="presParOf" srcId="{9111359C-D1A5-4225-9F1F-1E3D61ACAA9C}" destId="{B365D75A-1E00-45B2-81CD-CE7CD94E07A2}" srcOrd="17" destOrd="0" presId="urn:microsoft.com/office/officeart/2008/layout/LinedList"/>
    <dgm:cxn modelId="{52B25C3E-873E-4886-B4A0-4D5DB438C093}" type="presParOf" srcId="{9111359C-D1A5-4225-9F1F-1E3D61ACAA9C}" destId="{7FD316C7-95EB-448E-9779-61A61C041FF2}" srcOrd="18" destOrd="0" presId="urn:microsoft.com/office/officeart/2008/layout/LinedList"/>
    <dgm:cxn modelId="{A8A14D1B-E27E-4ADF-A343-6806BC3B8C5C}" type="presParOf" srcId="{9111359C-D1A5-4225-9F1F-1E3D61ACAA9C}" destId="{02BA1F63-CFA6-4A3D-9F03-CFE86E238E29}" srcOrd="19" destOrd="0" presId="urn:microsoft.com/office/officeart/2008/layout/LinedList"/>
    <dgm:cxn modelId="{4F5345F0-D358-44AA-8448-AE39C875D1DB}" type="presParOf" srcId="{02BA1F63-CFA6-4A3D-9F03-CFE86E238E29}" destId="{E83DB6F6-593F-48B3-BF01-8D4DFA692AB8}" srcOrd="0" destOrd="0" presId="urn:microsoft.com/office/officeart/2008/layout/LinedList"/>
    <dgm:cxn modelId="{0D14BB14-F2B4-428C-9A8B-53C631E64CEE}" type="presParOf" srcId="{02BA1F63-CFA6-4A3D-9F03-CFE86E238E29}" destId="{08F037E6-0A89-4DCB-BC0C-8728E9463B47}" srcOrd="1" destOrd="0" presId="urn:microsoft.com/office/officeart/2008/layout/LinedList"/>
    <dgm:cxn modelId="{377406F5-396E-456B-817C-9679F5D044AC}" type="presParOf" srcId="{02BA1F63-CFA6-4A3D-9F03-CFE86E238E29}" destId="{3DCF056E-1534-4107-8C62-3C210F55B8E6}" srcOrd="2" destOrd="0" presId="urn:microsoft.com/office/officeart/2008/layout/LinedList"/>
    <dgm:cxn modelId="{6B18EA92-DF03-43A1-9993-4FBFDB88A40B}" type="presParOf" srcId="{9111359C-D1A5-4225-9F1F-1E3D61ACAA9C}" destId="{95F9F1D3-E3EE-42D3-840E-2EAC6F56E434}" srcOrd="20" destOrd="0" presId="urn:microsoft.com/office/officeart/2008/layout/LinedList"/>
    <dgm:cxn modelId="{E75698AE-D384-465D-B2A7-19558F583CDB}" type="presParOf" srcId="{9111359C-D1A5-4225-9F1F-1E3D61ACAA9C}" destId="{638A04BB-C918-48A7-A8D0-CE98652C2235}" srcOrd="21" destOrd="0" presId="urn:microsoft.com/office/officeart/2008/layout/LinedList"/>
    <dgm:cxn modelId="{A46270CF-6179-4A55-8458-513D174D86B9}" type="presParOf" srcId="{9111359C-D1A5-4225-9F1F-1E3D61ACAA9C}" destId="{385F477A-E5D1-4943-8E7C-567212333A0A}" srcOrd="22" destOrd="0" presId="urn:microsoft.com/office/officeart/2008/layout/LinedList"/>
    <dgm:cxn modelId="{C7C5FCA7-2507-4DFA-B12B-203F5C6AD662}" type="presParOf" srcId="{385F477A-E5D1-4943-8E7C-567212333A0A}" destId="{8C8E1B59-7AB9-46B7-95AB-199D79FC7B50}" srcOrd="0" destOrd="0" presId="urn:microsoft.com/office/officeart/2008/layout/LinedList"/>
    <dgm:cxn modelId="{83065D99-5D41-4B38-BFDE-BAC1C0DED012}" type="presParOf" srcId="{385F477A-E5D1-4943-8E7C-567212333A0A}" destId="{B0A75696-F49E-4045-9B81-1D55F1883AFE}" srcOrd="1" destOrd="0" presId="urn:microsoft.com/office/officeart/2008/layout/LinedList"/>
    <dgm:cxn modelId="{4FFFC16D-D4D9-44C5-81E4-F8139FD88E3F}" type="presParOf" srcId="{385F477A-E5D1-4943-8E7C-567212333A0A}" destId="{1C6B5F8A-5F4C-4A41-9DF6-C518509A907D}" srcOrd="2" destOrd="0" presId="urn:microsoft.com/office/officeart/2008/layout/LinedList"/>
    <dgm:cxn modelId="{A6729536-24DA-4B7D-91E1-E952A6208D6B}" type="presParOf" srcId="{9111359C-D1A5-4225-9F1F-1E3D61ACAA9C}" destId="{87A5CA77-E190-4F0C-9AF6-DCC817573619}" srcOrd="23" destOrd="0" presId="urn:microsoft.com/office/officeart/2008/layout/LinedList"/>
    <dgm:cxn modelId="{B07CE614-46C5-4CC9-85C8-41B31E780859}" type="presParOf" srcId="{9111359C-D1A5-4225-9F1F-1E3D61ACAA9C}" destId="{4B9463D5-F570-48C4-8F27-6753397877EA}" srcOrd="24" destOrd="0" presId="urn:microsoft.com/office/officeart/2008/layout/LinedList"/>
    <dgm:cxn modelId="{03A31A66-44CF-4500-8769-9DE92E91795C}" type="presParOf" srcId="{9111359C-D1A5-4225-9F1F-1E3D61ACAA9C}" destId="{7AA04707-F28C-4492-ABBA-3C68FA367025}" srcOrd="25" destOrd="0" presId="urn:microsoft.com/office/officeart/2008/layout/LinedList"/>
    <dgm:cxn modelId="{BEB631CD-02D4-4AAC-A6E4-459517A8AC75}" type="presParOf" srcId="{7AA04707-F28C-4492-ABBA-3C68FA367025}" destId="{8CE096F6-D7FE-4F7F-8631-603A13DF38CB}" srcOrd="0" destOrd="0" presId="urn:microsoft.com/office/officeart/2008/layout/LinedList"/>
    <dgm:cxn modelId="{B7AC6B93-8B3F-47DA-A230-E9955599BDDD}" type="presParOf" srcId="{7AA04707-F28C-4492-ABBA-3C68FA367025}" destId="{6A0D3AEF-BD84-4C93-A82C-41D239E6E616}" srcOrd="1" destOrd="0" presId="urn:microsoft.com/office/officeart/2008/layout/LinedList"/>
    <dgm:cxn modelId="{BA2DECFD-3842-4CE0-8BD6-E1787ADBF1FE}" type="presParOf" srcId="{7AA04707-F28C-4492-ABBA-3C68FA367025}" destId="{A43C32EE-8A80-46D2-8F9A-DC95FD38E3A1}" srcOrd="2" destOrd="0" presId="urn:microsoft.com/office/officeart/2008/layout/LinedList"/>
    <dgm:cxn modelId="{76E6E95C-3B58-49CE-BFED-38058F51C6A1}" type="presParOf" srcId="{9111359C-D1A5-4225-9F1F-1E3D61ACAA9C}" destId="{297067C6-D55F-4AEE-8978-782DEBA26E84}" srcOrd="26" destOrd="0" presId="urn:microsoft.com/office/officeart/2008/layout/LinedList"/>
    <dgm:cxn modelId="{57C3C9FF-FD12-4ED2-A8DA-E1735A4E77A3}" type="presParOf" srcId="{9111359C-D1A5-4225-9F1F-1E3D61ACAA9C}" destId="{5D612AEB-CB37-41B9-9965-B4583D12A6E3}" srcOrd="27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BFD0241-7754-41D6-8149-1C2C0EF1E954}">
      <dsp:nvSpPr>
        <dsp:cNvPr id="0" name=""/>
        <dsp:cNvSpPr/>
      </dsp:nvSpPr>
      <dsp:spPr>
        <a:xfrm>
          <a:off x="0" y="0"/>
          <a:ext cx="2797362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C51890F6-E91C-4BD0-9437-8BA8898DF2F3}">
      <dsp:nvSpPr>
        <dsp:cNvPr id="0" name=""/>
        <dsp:cNvSpPr/>
      </dsp:nvSpPr>
      <dsp:spPr>
        <a:xfrm>
          <a:off x="0" y="0"/>
          <a:ext cx="559472" cy="309824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9530" tIns="49530" rIns="49530" bIns="49530" numCol="1" spcCol="1270" anchor="t" anchorCtr="0">
          <a:noAutofit/>
        </a:bodyPr>
        <a:lstStyle/>
        <a:p>
          <a:pPr marL="0" lvl="0" indent="0" algn="l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en-US" altLang="ko-KR" sz="1300" kern="1200"/>
            <a:t>2020 Big Events</a:t>
          </a:r>
          <a:endParaRPr kumimoji="1" lang="ja-JP" altLang="en-US" sz="1300" kern="1200"/>
        </a:p>
      </dsp:txBody>
      <dsp:txXfrm>
        <a:off x="0" y="0"/>
        <a:ext cx="559472" cy="3098240"/>
      </dsp:txXfrm>
    </dsp:sp>
    <dsp:sp modelId="{59C14F34-CC7C-46CD-A55E-76954306485E}">
      <dsp:nvSpPr>
        <dsp:cNvPr id="0" name=""/>
        <dsp:cNvSpPr/>
      </dsp:nvSpPr>
      <dsp:spPr>
        <a:xfrm>
          <a:off x="601432" y="36420"/>
          <a:ext cx="2195929" cy="7284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7630" tIns="87630" rIns="87630" bIns="87630" numCol="1" spcCol="1270" anchor="t" anchorCtr="0">
          <a:noAutofit/>
        </a:bodyPr>
        <a:lstStyle/>
        <a:p>
          <a:pPr marL="0" lvl="0" indent="0" algn="l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en-US" altLang="ko-KR" sz="2300" kern="1200"/>
            <a:t>1</a:t>
          </a:r>
          <a:r>
            <a:rPr kumimoji="1" lang="ko-KR" altLang="en-US" sz="2300" kern="1200"/>
            <a:t>차전직을 했다</a:t>
          </a:r>
          <a:r>
            <a:rPr kumimoji="1" lang="en-US" altLang="ko-KR" sz="2300" kern="1200"/>
            <a:t>.</a:t>
          </a:r>
          <a:endParaRPr kumimoji="1" lang="ja-JP" altLang="en-US" sz="2300" kern="1200"/>
        </a:p>
      </dsp:txBody>
      <dsp:txXfrm>
        <a:off x="601432" y="36420"/>
        <a:ext cx="2195929" cy="728419"/>
      </dsp:txXfrm>
    </dsp:sp>
    <dsp:sp modelId="{4ADA647B-7BB6-4B54-8BBF-A23D87E69785}">
      <dsp:nvSpPr>
        <dsp:cNvPr id="0" name=""/>
        <dsp:cNvSpPr/>
      </dsp:nvSpPr>
      <dsp:spPr>
        <a:xfrm>
          <a:off x="559472" y="764840"/>
          <a:ext cx="2237889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709DBEEE-0063-4797-AB2D-D01A5B16ECB9}">
      <dsp:nvSpPr>
        <dsp:cNvPr id="0" name=""/>
        <dsp:cNvSpPr/>
      </dsp:nvSpPr>
      <dsp:spPr>
        <a:xfrm>
          <a:off x="601432" y="801261"/>
          <a:ext cx="2195929" cy="7284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7630" tIns="87630" rIns="87630" bIns="87630" numCol="1" spcCol="1270" anchor="t" anchorCtr="0">
          <a:noAutofit/>
        </a:bodyPr>
        <a:lstStyle/>
        <a:p>
          <a:pPr marL="0" lvl="0" indent="0" algn="l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en-US" altLang="ja-JP" sz="2300" kern="1200"/>
            <a:t>PHP </a:t>
          </a:r>
          <a:r>
            <a:rPr kumimoji="1" lang="en-US" altLang="ko-KR" sz="2300" kern="1200"/>
            <a:t>Laravel</a:t>
          </a:r>
          <a:endParaRPr kumimoji="1" lang="ja-JP" altLang="en-US" sz="2300" kern="1200"/>
        </a:p>
      </dsp:txBody>
      <dsp:txXfrm>
        <a:off x="601432" y="801261"/>
        <a:ext cx="2195929" cy="728419"/>
      </dsp:txXfrm>
    </dsp:sp>
    <dsp:sp modelId="{9648A7C0-114D-4F8E-9524-F9A95A02506D}">
      <dsp:nvSpPr>
        <dsp:cNvPr id="0" name=""/>
        <dsp:cNvSpPr/>
      </dsp:nvSpPr>
      <dsp:spPr>
        <a:xfrm>
          <a:off x="559472" y="1529680"/>
          <a:ext cx="2237889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3B9520BB-E0C8-4935-BA02-1FAF14182E53}">
      <dsp:nvSpPr>
        <dsp:cNvPr id="0" name=""/>
        <dsp:cNvSpPr/>
      </dsp:nvSpPr>
      <dsp:spPr>
        <a:xfrm>
          <a:off x="601432" y="1566101"/>
          <a:ext cx="2195929" cy="7284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7630" tIns="87630" rIns="87630" bIns="87630" numCol="1" spcCol="1270" anchor="t" anchorCtr="0">
          <a:noAutofit/>
        </a:bodyPr>
        <a:lstStyle/>
        <a:p>
          <a:pPr marL="0" lvl="0" indent="0" algn="l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en-US" altLang="ja-JP" sz="2300" kern="1200"/>
            <a:t>RestAPI, Docker</a:t>
          </a:r>
          <a:endParaRPr kumimoji="1" lang="ja-JP" altLang="en-US" sz="2300" kern="1200"/>
        </a:p>
      </dsp:txBody>
      <dsp:txXfrm>
        <a:off x="601432" y="1566101"/>
        <a:ext cx="2195929" cy="728419"/>
      </dsp:txXfrm>
    </dsp:sp>
    <dsp:sp modelId="{8DC3787E-6B70-4376-8725-80E9C9FB7931}">
      <dsp:nvSpPr>
        <dsp:cNvPr id="0" name=""/>
        <dsp:cNvSpPr/>
      </dsp:nvSpPr>
      <dsp:spPr>
        <a:xfrm>
          <a:off x="559472" y="2294520"/>
          <a:ext cx="2237889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11EC4893-6E47-4253-8ED4-4CCF14947E7D}">
      <dsp:nvSpPr>
        <dsp:cNvPr id="0" name=""/>
        <dsp:cNvSpPr/>
      </dsp:nvSpPr>
      <dsp:spPr>
        <a:xfrm>
          <a:off x="601432" y="2330941"/>
          <a:ext cx="2195929" cy="7284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7630" tIns="87630" rIns="87630" bIns="87630" numCol="1" spcCol="1270" anchor="t" anchorCtr="0">
          <a:noAutofit/>
        </a:bodyPr>
        <a:lstStyle/>
        <a:p>
          <a:pPr marL="0" lvl="0" indent="0" algn="l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en-US" altLang="ja-JP" sz="2300" kern="1200"/>
            <a:t>ReactJS</a:t>
          </a:r>
          <a:endParaRPr kumimoji="1" lang="ja-JP" altLang="en-US" sz="2300" kern="1200"/>
        </a:p>
      </dsp:txBody>
      <dsp:txXfrm>
        <a:off x="601432" y="2330941"/>
        <a:ext cx="2195929" cy="728419"/>
      </dsp:txXfrm>
    </dsp:sp>
    <dsp:sp modelId="{3564221C-8D25-4E79-951A-E06137BF560A}">
      <dsp:nvSpPr>
        <dsp:cNvPr id="0" name=""/>
        <dsp:cNvSpPr/>
      </dsp:nvSpPr>
      <dsp:spPr>
        <a:xfrm>
          <a:off x="559472" y="3059360"/>
          <a:ext cx="2237889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BFD0241-7754-41D6-8149-1C2C0EF1E954}">
      <dsp:nvSpPr>
        <dsp:cNvPr id="0" name=""/>
        <dsp:cNvSpPr/>
      </dsp:nvSpPr>
      <dsp:spPr>
        <a:xfrm>
          <a:off x="0" y="0"/>
          <a:ext cx="408305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C51890F6-E91C-4BD0-9437-8BA8898DF2F3}">
      <dsp:nvSpPr>
        <dsp:cNvPr id="0" name=""/>
        <dsp:cNvSpPr/>
      </dsp:nvSpPr>
      <dsp:spPr>
        <a:xfrm>
          <a:off x="0" y="0"/>
          <a:ext cx="816610" cy="295592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770" tIns="64770" rIns="64770" bIns="64770" numCol="1" spcCol="1270" anchor="t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en-US" altLang="ko-KR" sz="1700" kern="1200"/>
            <a:t>Planner</a:t>
          </a:r>
          <a:r>
            <a:rPr kumimoji="1" lang="ko-KR" altLang="en-US" sz="1700" kern="1200"/>
            <a:t> </a:t>
          </a:r>
          <a:r>
            <a:rPr kumimoji="1" lang="en-US" altLang="ko-KR" sz="1700" kern="1200"/>
            <a:t>v1.2</a:t>
          </a:r>
          <a:endParaRPr kumimoji="1" lang="ja-JP" altLang="en-US" sz="1700" kern="1200"/>
        </a:p>
      </dsp:txBody>
      <dsp:txXfrm>
        <a:off x="0" y="0"/>
        <a:ext cx="816610" cy="2955925"/>
      </dsp:txXfrm>
    </dsp:sp>
    <dsp:sp modelId="{59C14F34-CC7C-46CD-A55E-76954306485E}">
      <dsp:nvSpPr>
        <dsp:cNvPr id="0" name=""/>
        <dsp:cNvSpPr/>
      </dsp:nvSpPr>
      <dsp:spPr>
        <a:xfrm>
          <a:off x="877855" y="15551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일기 시트를 메모장</a:t>
          </a:r>
          <a:r>
            <a:rPr kumimoji="1" lang="en-US" altLang="en-US" sz="700" kern="1200"/>
            <a:t>/PPT </a:t>
          </a:r>
          <a:r>
            <a:rPr kumimoji="1" lang="ko-KR" altLang="en-US" sz="700" kern="1200"/>
            <a:t>중 하나에 선택해서 옮기는 기능</a:t>
          </a:r>
          <a:endParaRPr kumimoji="1" lang="ja-JP" altLang="en-US" sz="700" kern="1200"/>
        </a:p>
      </dsp:txBody>
      <dsp:txXfrm>
        <a:off x="877855" y="15551"/>
        <a:ext cx="3205194" cy="311036"/>
      </dsp:txXfrm>
    </dsp:sp>
    <dsp:sp modelId="{4ADA647B-7BB6-4B54-8BBF-A23D87E69785}">
      <dsp:nvSpPr>
        <dsp:cNvPr id="0" name=""/>
        <dsp:cNvSpPr/>
      </dsp:nvSpPr>
      <dsp:spPr>
        <a:xfrm>
          <a:off x="816610" y="326587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709DBEEE-0063-4797-AB2D-D01A5B16ECB9}">
      <dsp:nvSpPr>
        <dsp:cNvPr id="0" name=""/>
        <dsp:cNvSpPr/>
      </dsp:nvSpPr>
      <dsp:spPr>
        <a:xfrm>
          <a:off x="877855" y="342139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프린트 기능 </a:t>
          </a:r>
          <a:r>
            <a:rPr kumimoji="1" lang="en-US" altLang="ko-KR" sz="700" kern="1200"/>
            <a:t>(</a:t>
          </a:r>
          <a:r>
            <a:rPr kumimoji="1" lang="ko-KR" altLang="en-US" sz="700" kern="1200"/>
            <a:t>프린트 시 한페이지로 나오게끔 적절한 레이아웃 설정하는 법</a:t>
          </a:r>
          <a:r>
            <a:rPr kumimoji="1" lang="en-US" altLang="ko-KR" sz="700" kern="1200"/>
            <a:t>)</a:t>
          </a:r>
          <a:endParaRPr kumimoji="1" lang="ja-JP" altLang="en-US" sz="700" kern="1200"/>
        </a:p>
      </dsp:txBody>
      <dsp:txXfrm>
        <a:off x="877855" y="342139"/>
        <a:ext cx="3205194" cy="311036"/>
      </dsp:txXfrm>
    </dsp:sp>
    <dsp:sp modelId="{9648A7C0-114D-4F8E-9524-F9A95A02506D}">
      <dsp:nvSpPr>
        <dsp:cNvPr id="0" name=""/>
        <dsp:cNvSpPr/>
      </dsp:nvSpPr>
      <dsp:spPr>
        <a:xfrm>
          <a:off x="816610" y="653175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603D8171-62EB-415F-AFAE-FE186D2489F6}">
      <dsp:nvSpPr>
        <dsp:cNvPr id="0" name=""/>
        <dsp:cNvSpPr/>
      </dsp:nvSpPr>
      <dsp:spPr>
        <a:xfrm>
          <a:off x="877855" y="668727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배치를 통해서 엑셀을 프로그램화 하기</a:t>
          </a:r>
          <a:endParaRPr kumimoji="1" lang="ja-JP" altLang="en-US" sz="700" kern="1200"/>
        </a:p>
      </dsp:txBody>
      <dsp:txXfrm>
        <a:off x="877855" y="668727"/>
        <a:ext cx="3205194" cy="311036"/>
      </dsp:txXfrm>
    </dsp:sp>
    <dsp:sp modelId="{BCEF9E99-22C8-4B1F-8819-F4F045991388}">
      <dsp:nvSpPr>
        <dsp:cNvPr id="0" name=""/>
        <dsp:cNvSpPr/>
      </dsp:nvSpPr>
      <dsp:spPr>
        <a:xfrm>
          <a:off x="816610" y="979763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9C63EF3F-FE76-42D0-A2A3-318BEB274BD4}">
      <dsp:nvSpPr>
        <dsp:cNvPr id="0" name=""/>
        <dsp:cNvSpPr/>
      </dsp:nvSpPr>
      <dsp:spPr>
        <a:xfrm>
          <a:off x="877855" y="995315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일정</a:t>
          </a:r>
          <a:r>
            <a:rPr kumimoji="1" lang="en-US" altLang="en-US" sz="700" kern="1200"/>
            <a:t>/</a:t>
          </a:r>
          <a:r>
            <a:rPr kumimoji="1" lang="ko-KR" altLang="en-US" sz="700" kern="1200"/>
            <a:t>일보 등의 메일 발송 기능 </a:t>
          </a:r>
          <a:r>
            <a:rPr kumimoji="1" lang="en-US" altLang="en-US" sz="700" kern="1200"/>
            <a:t>(</a:t>
          </a:r>
          <a:r>
            <a:rPr kumimoji="1" lang="ko-KR" altLang="en-US" sz="700" kern="1200"/>
            <a:t>타 엑셀로 이동케끔 해야함</a:t>
          </a:r>
          <a:r>
            <a:rPr kumimoji="1" lang="en-US" altLang="en-US" sz="700" kern="1200"/>
            <a:t>)</a:t>
          </a:r>
          <a:endParaRPr kumimoji="1" lang="ja-JP" altLang="en-US" sz="700" kern="1200"/>
        </a:p>
      </dsp:txBody>
      <dsp:txXfrm>
        <a:off x="877855" y="995315"/>
        <a:ext cx="3205194" cy="311036"/>
      </dsp:txXfrm>
    </dsp:sp>
    <dsp:sp modelId="{90F82499-EFF3-4BC7-86BF-37B6F1DC1C64}">
      <dsp:nvSpPr>
        <dsp:cNvPr id="0" name=""/>
        <dsp:cNvSpPr/>
      </dsp:nvSpPr>
      <dsp:spPr>
        <a:xfrm>
          <a:off x="816610" y="1306351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11EC4893-6E47-4253-8ED4-4CCF14947E7D}">
      <dsp:nvSpPr>
        <dsp:cNvPr id="0" name=""/>
        <dsp:cNvSpPr/>
      </dsp:nvSpPr>
      <dsp:spPr>
        <a:xfrm>
          <a:off x="877855" y="1321903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챠트 자동생성 기능</a:t>
          </a:r>
          <a:endParaRPr kumimoji="1" lang="ja-JP" altLang="en-US" sz="700" kern="1200"/>
        </a:p>
      </dsp:txBody>
      <dsp:txXfrm>
        <a:off x="877855" y="1321903"/>
        <a:ext cx="3205194" cy="311036"/>
      </dsp:txXfrm>
    </dsp:sp>
    <dsp:sp modelId="{3564221C-8D25-4E79-951A-E06137BF560A}">
      <dsp:nvSpPr>
        <dsp:cNvPr id="0" name=""/>
        <dsp:cNvSpPr/>
      </dsp:nvSpPr>
      <dsp:spPr>
        <a:xfrm>
          <a:off x="816610" y="1632939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6DD7812F-6DD9-4607-9AC7-7C1904384960}">
      <dsp:nvSpPr>
        <dsp:cNvPr id="0" name=""/>
        <dsp:cNvSpPr/>
      </dsp:nvSpPr>
      <dsp:spPr>
        <a:xfrm>
          <a:off x="877855" y="1648491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단어 학습 기능 </a:t>
          </a:r>
          <a:r>
            <a:rPr kumimoji="1" lang="en-US" altLang="ko-KR" sz="700" kern="1200"/>
            <a:t>(</a:t>
          </a:r>
          <a:r>
            <a:rPr kumimoji="1" lang="ko-KR" altLang="en-US" sz="700" kern="1200"/>
            <a:t>타 파일에 만들고 연계시키기</a:t>
          </a:r>
          <a:r>
            <a:rPr kumimoji="1" lang="en-US" altLang="ko-KR" sz="700" kern="1200"/>
            <a:t>) - TTS</a:t>
          </a:r>
          <a:r>
            <a:rPr kumimoji="1" lang="ko-KR" altLang="en-US" sz="700" kern="1200"/>
            <a:t>로 읽기 기능도 추가하기</a:t>
          </a:r>
          <a:endParaRPr kumimoji="1" lang="ja-JP" altLang="en-US" sz="700" kern="1200"/>
        </a:p>
      </dsp:txBody>
      <dsp:txXfrm>
        <a:off x="877855" y="1648491"/>
        <a:ext cx="3205194" cy="311036"/>
      </dsp:txXfrm>
    </dsp:sp>
    <dsp:sp modelId="{B365D75A-1E00-45B2-81CD-CE7CD94E07A2}">
      <dsp:nvSpPr>
        <dsp:cNvPr id="0" name=""/>
        <dsp:cNvSpPr/>
      </dsp:nvSpPr>
      <dsp:spPr>
        <a:xfrm>
          <a:off x="816610" y="1959527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08F037E6-0A89-4DCB-BC0C-8728E9463B47}">
      <dsp:nvSpPr>
        <dsp:cNvPr id="0" name=""/>
        <dsp:cNvSpPr/>
      </dsp:nvSpPr>
      <dsp:spPr>
        <a:xfrm>
          <a:off x="877855" y="1975078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날씨 기능 </a:t>
          </a:r>
          <a:r>
            <a:rPr kumimoji="1" lang="en-US" altLang="ko-KR" sz="700" kern="1200"/>
            <a:t>(</a:t>
          </a:r>
          <a:r>
            <a:rPr kumimoji="1" lang="ko-KR" altLang="en-US" sz="700" kern="1200"/>
            <a:t>무거워져서 타 파일에 만들고 연계</a:t>
          </a:r>
          <a:r>
            <a:rPr kumimoji="1" lang="en-US" altLang="ko-KR" sz="700" kern="1200"/>
            <a:t>)</a:t>
          </a:r>
          <a:endParaRPr kumimoji="1" lang="ja-JP" altLang="en-US" sz="700" kern="1200"/>
        </a:p>
      </dsp:txBody>
      <dsp:txXfrm>
        <a:off x="877855" y="1975078"/>
        <a:ext cx="3205194" cy="311036"/>
      </dsp:txXfrm>
    </dsp:sp>
    <dsp:sp modelId="{95F9F1D3-E3EE-42D3-840E-2EAC6F56E434}">
      <dsp:nvSpPr>
        <dsp:cNvPr id="0" name=""/>
        <dsp:cNvSpPr/>
      </dsp:nvSpPr>
      <dsp:spPr>
        <a:xfrm>
          <a:off x="816610" y="2286114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B0A75696-F49E-4045-9B81-1D55F1883AFE}">
      <dsp:nvSpPr>
        <dsp:cNvPr id="0" name=""/>
        <dsp:cNvSpPr/>
      </dsp:nvSpPr>
      <dsp:spPr>
        <a:xfrm>
          <a:off x="877855" y="2301666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달력으로 이동</a:t>
          </a:r>
          <a:endParaRPr kumimoji="1" lang="ja-JP" altLang="en-US" sz="700" kern="1200"/>
        </a:p>
      </dsp:txBody>
      <dsp:txXfrm>
        <a:off x="877855" y="2301666"/>
        <a:ext cx="3205194" cy="311036"/>
      </dsp:txXfrm>
    </dsp:sp>
    <dsp:sp modelId="{87A5CA77-E190-4F0C-9AF6-DCC817573619}">
      <dsp:nvSpPr>
        <dsp:cNvPr id="0" name=""/>
        <dsp:cNvSpPr/>
      </dsp:nvSpPr>
      <dsp:spPr>
        <a:xfrm>
          <a:off x="816610" y="2612702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6A0D3AEF-BD84-4C93-A82C-41D239E6E616}">
      <dsp:nvSpPr>
        <dsp:cNvPr id="0" name=""/>
        <dsp:cNvSpPr/>
      </dsp:nvSpPr>
      <dsp:spPr>
        <a:xfrm>
          <a:off x="877855" y="2628254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일본어</a:t>
          </a:r>
          <a:r>
            <a:rPr kumimoji="1" lang="en-US" altLang="ko-KR" sz="700" kern="1200"/>
            <a:t>/</a:t>
          </a:r>
          <a:r>
            <a:rPr kumimoji="1" lang="ko-KR" altLang="en-US" sz="700" kern="1200"/>
            <a:t>영어</a:t>
          </a:r>
          <a:r>
            <a:rPr kumimoji="1" lang="en-US" altLang="ko-KR" sz="700" kern="1200"/>
            <a:t>/</a:t>
          </a:r>
          <a:r>
            <a:rPr kumimoji="1" lang="ko-KR" altLang="en-US" sz="700" kern="1200"/>
            <a:t>한국어판 제작 </a:t>
          </a:r>
          <a:r>
            <a:rPr kumimoji="1" lang="en-US" altLang="ko-KR" sz="700" kern="1200"/>
            <a:t>(</a:t>
          </a:r>
          <a:r>
            <a:rPr kumimoji="1" lang="ko-KR" altLang="en-US" sz="700" kern="1200"/>
            <a:t>코드는 비번 걸어두기</a:t>
          </a:r>
          <a:r>
            <a:rPr kumimoji="1" lang="en-US" altLang="ko-KR" sz="700" kern="1200"/>
            <a:t>) : </a:t>
          </a:r>
          <a:r>
            <a:rPr kumimoji="1" lang="ko-KR" altLang="en-US" sz="700" kern="1200"/>
            <a:t>상업용 프로젝트로도 제작</a:t>
          </a:r>
          <a:endParaRPr kumimoji="1" lang="ja-JP" altLang="en-US" sz="700" kern="1200"/>
        </a:p>
      </dsp:txBody>
      <dsp:txXfrm>
        <a:off x="877855" y="2628254"/>
        <a:ext cx="3205194" cy="311036"/>
      </dsp:txXfrm>
    </dsp:sp>
    <dsp:sp modelId="{297067C6-D55F-4AEE-8978-782DEBA26E84}">
      <dsp:nvSpPr>
        <dsp:cNvPr id="0" name=""/>
        <dsp:cNvSpPr/>
      </dsp:nvSpPr>
      <dsp:spPr>
        <a:xfrm>
          <a:off x="816610" y="2939290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BFD0241-7754-41D6-8149-1C2C0EF1E954}">
      <dsp:nvSpPr>
        <dsp:cNvPr id="0" name=""/>
        <dsp:cNvSpPr/>
      </dsp:nvSpPr>
      <dsp:spPr>
        <a:xfrm>
          <a:off x="0" y="0"/>
          <a:ext cx="408305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C51890F6-E91C-4BD0-9437-8BA8898DF2F3}">
      <dsp:nvSpPr>
        <dsp:cNvPr id="0" name=""/>
        <dsp:cNvSpPr/>
      </dsp:nvSpPr>
      <dsp:spPr>
        <a:xfrm>
          <a:off x="0" y="0"/>
          <a:ext cx="816610" cy="295592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770" tIns="64770" rIns="64770" bIns="64770" numCol="1" spcCol="1270" anchor="t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en-US" altLang="ko-KR" sz="1700" kern="1200"/>
            <a:t>Planner</a:t>
          </a:r>
          <a:r>
            <a:rPr kumimoji="1" lang="ko-KR" altLang="en-US" sz="1700" kern="1200"/>
            <a:t> </a:t>
          </a:r>
          <a:r>
            <a:rPr kumimoji="1" lang="en-US" altLang="ko-KR" sz="1700" kern="1200"/>
            <a:t>v1.1</a:t>
          </a:r>
          <a:endParaRPr kumimoji="1" lang="ja-JP" altLang="en-US" sz="1700" kern="1200"/>
        </a:p>
      </dsp:txBody>
      <dsp:txXfrm>
        <a:off x="0" y="0"/>
        <a:ext cx="816610" cy="2955925"/>
      </dsp:txXfrm>
    </dsp:sp>
    <dsp:sp modelId="{59C14F34-CC7C-46CD-A55E-76954306485E}">
      <dsp:nvSpPr>
        <dsp:cNvPr id="0" name=""/>
        <dsp:cNvSpPr/>
      </dsp:nvSpPr>
      <dsp:spPr>
        <a:xfrm>
          <a:off x="877855" y="15551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축일 따로 </a:t>
          </a:r>
          <a:r>
            <a:rPr kumimoji="1" lang="en-US" altLang="en-US" sz="700" kern="1200"/>
            <a:t>Data </a:t>
          </a:r>
          <a:r>
            <a:rPr kumimoji="1" lang="ko-KR" altLang="en-US" sz="700" kern="1200"/>
            <a:t>시트에 빼기</a:t>
          </a:r>
          <a:endParaRPr kumimoji="1" lang="ja-JP" altLang="en-US" sz="700" kern="1200"/>
        </a:p>
      </dsp:txBody>
      <dsp:txXfrm>
        <a:off x="877855" y="15551"/>
        <a:ext cx="3205194" cy="311036"/>
      </dsp:txXfrm>
    </dsp:sp>
    <dsp:sp modelId="{4ADA647B-7BB6-4B54-8BBF-A23D87E69785}">
      <dsp:nvSpPr>
        <dsp:cNvPr id="0" name=""/>
        <dsp:cNvSpPr/>
      </dsp:nvSpPr>
      <dsp:spPr>
        <a:xfrm>
          <a:off x="816610" y="326587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709DBEEE-0063-4797-AB2D-D01A5B16ECB9}">
      <dsp:nvSpPr>
        <dsp:cNvPr id="0" name=""/>
        <dsp:cNvSpPr/>
      </dsp:nvSpPr>
      <dsp:spPr>
        <a:xfrm>
          <a:off x="877855" y="342139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스케쥴표에 오늘가는 버튼 만들기</a:t>
          </a:r>
          <a:endParaRPr kumimoji="1" lang="ja-JP" altLang="en-US" sz="700" kern="1200"/>
        </a:p>
      </dsp:txBody>
      <dsp:txXfrm>
        <a:off x="877855" y="342139"/>
        <a:ext cx="3205194" cy="311036"/>
      </dsp:txXfrm>
    </dsp:sp>
    <dsp:sp modelId="{9648A7C0-114D-4F8E-9524-F9A95A02506D}">
      <dsp:nvSpPr>
        <dsp:cNvPr id="0" name=""/>
        <dsp:cNvSpPr/>
      </dsp:nvSpPr>
      <dsp:spPr>
        <a:xfrm>
          <a:off x="816610" y="653175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603D8171-62EB-415F-AFAE-FE186D2489F6}">
      <dsp:nvSpPr>
        <dsp:cNvPr id="0" name=""/>
        <dsp:cNvSpPr/>
      </dsp:nvSpPr>
      <dsp:spPr>
        <a:xfrm>
          <a:off x="877855" y="668727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빨초녹검파 색깔지정해 개인매크로로 지정</a:t>
          </a:r>
          <a:endParaRPr kumimoji="1" lang="ja-JP" altLang="en-US" sz="700" kern="1200"/>
        </a:p>
      </dsp:txBody>
      <dsp:txXfrm>
        <a:off x="877855" y="668727"/>
        <a:ext cx="3205194" cy="311036"/>
      </dsp:txXfrm>
    </dsp:sp>
    <dsp:sp modelId="{BCEF9E99-22C8-4B1F-8819-F4F045991388}">
      <dsp:nvSpPr>
        <dsp:cNvPr id="0" name=""/>
        <dsp:cNvSpPr/>
      </dsp:nvSpPr>
      <dsp:spPr>
        <a:xfrm>
          <a:off x="816610" y="979763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9C63EF3F-FE76-42D0-A2A3-318BEB274BD4}">
      <dsp:nvSpPr>
        <dsp:cNvPr id="0" name=""/>
        <dsp:cNvSpPr/>
      </dsp:nvSpPr>
      <dsp:spPr>
        <a:xfrm>
          <a:off x="877855" y="995315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일정 </a:t>
          </a:r>
          <a:r>
            <a:rPr kumimoji="1" lang="en-US" altLang="en-US" sz="700" kern="1200"/>
            <a:t>8</a:t>
          </a:r>
          <a:r>
            <a:rPr kumimoji="1" lang="ko-KR" altLang="en-US" sz="700" kern="1200"/>
            <a:t>까지 칸 늘리기</a:t>
          </a:r>
          <a:endParaRPr kumimoji="1" lang="ja-JP" altLang="en-US" sz="700" kern="1200"/>
        </a:p>
      </dsp:txBody>
      <dsp:txXfrm>
        <a:off x="877855" y="995315"/>
        <a:ext cx="3205194" cy="311036"/>
      </dsp:txXfrm>
    </dsp:sp>
    <dsp:sp modelId="{90F82499-EFF3-4BC7-86BF-37B6F1DC1C64}">
      <dsp:nvSpPr>
        <dsp:cNvPr id="0" name=""/>
        <dsp:cNvSpPr/>
      </dsp:nvSpPr>
      <dsp:spPr>
        <a:xfrm>
          <a:off x="816610" y="1306351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11EC4893-6E47-4253-8ED4-4CCF14947E7D}">
      <dsp:nvSpPr>
        <dsp:cNvPr id="0" name=""/>
        <dsp:cNvSpPr/>
      </dsp:nvSpPr>
      <dsp:spPr>
        <a:xfrm>
          <a:off x="877855" y="1321903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일정시트 기능만들기</a:t>
          </a:r>
          <a:r>
            <a:rPr kumimoji="1" lang="en-US" altLang="ko-KR" sz="700" kern="1200"/>
            <a:t>, </a:t>
          </a:r>
          <a:r>
            <a:rPr kumimoji="1" lang="ko-KR" altLang="en-US" sz="700" kern="1200"/>
            <a:t>일정시트 조건부서식 수정</a:t>
          </a:r>
          <a:r>
            <a:rPr kumimoji="1" lang="en-US" altLang="ko-KR" sz="700" kern="1200"/>
            <a:t>, </a:t>
          </a:r>
          <a:r>
            <a:rPr kumimoji="1" lang="ko-KR" altLang="en-US" sz="700" kern="1200"/>
            <a:t>일정 시트 보호</a:t>
          </a:r>
          <a:endParaRPr kumimoji="1" lang="ja-JP" altLang="en-US" sz="700" kern="1200"/>
        </a:p>
      </dsp:txBody>
      <dsp:txXfrm>
        <a:off x="877855" y="1321903"/>
        <a:ext cx="3205194" cy="311036"/>
      </dsp:txXfrm>
    </dsp:sp>
    <dsp:sp modelId="{3564221C-8D25-4E79-951A-E06137BF560A}">
      <dsp:nvSpPr>
        <dsp:cNvPr id="0" name=""/>
        <dsp:cNvSpPr/>
      </dsp:nvSpPr>
      <dsp:spPr>
        <a:xfrm>
          <a:off x="816610" y="1632939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6DD7812F-6DD9-4607-9AC7-7C1904384960}">
      <dsp:nvSpPr>
        <dsp:cNvPr id="0" name=""/>
        <dsp:cNvSpPr/>
      </dsp:nvSpPr>
      <dsp:spPr>
        <a:xfrm>
          <a:off x="852470" y="1648491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일정에 루틴 </a:t>
          </a:r>
          <a:r>
            <a:rPr kumimoji="1" lang="en-US" altLang="en-US" sz="700" kern="1200"/>
            <a:t>data</a:t>
          </a:r>
          <a:r>
            <a:rPr kumimoji="1" lang="ko-KR" altLang="en-US" sz="700" kern="1200"/>
            <a:t>시트 적용하기</a:t>
          </a:r>
          <a:r>
            <a:rPr kumimoji="1" lang="en-US" altLang="en-US" sz="700" kern="1200"/>
            <a:t>2 + </a:t>
          </a:r>
          <a:r>
            <a:rPr kumimoji="1" lang="ko-KR" altLang="en-US" sz="700" kern="1200"/>
            <a:t>아카이브에 등록가능하게 </a:t>
          </a:r>
          <a:r>
            <a:rPr kumimoji="1" lang="en-US" altLang="en-US" sz="700" kern="1200"/>
            <a:t>(</a:t>
          </a:r>
          <a:r>
            <a:rPr kumimoji="1" lang="ko-KR" altLang="en-US" sz="700" kern="1200"/>
            <a:t>이건 직접 해야함</a:t>
          </a:r>
          <a:r>
            <a:rPr kumimoji="1" lang="en-US" altLang="en-US" sz="700" kern="1200"/>
            <a:t>)</a:t>
          </a:r>
          <a:endParaRPr kumimoji="1" lang="ja-JP" altLang="en-US" sz="700" kern="1200"/>
        </a:p>
      </dsp:txBody>
      <dsp:txXfrm>
        <a:off x="852470" y="1648491"/>
        <a:ext cx="3205194" cy="311036"/>
      </dsp:txXfrm>
    </dsp:sp>
    <dsp:sp modelId="{B365D75A-1E00-45B2-81CD-CE7CD94E07A2}">
      <dsp:nvSpPr>
        <dsp:cNvPr id="0" name=""/>
        <dsp:cNvSpPr/>
      </dsp:nvSpPr>
      <dsp:spPr>
        <a:xfrm>
          <a:off x="816610" y="1959527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08F037E6-0A89-4DCB-BC0C-8728E9463B47}">
      <dsp:nvSpPr>
        <dsp:cNvPr id="0" name=""/>
        <dsp:cNvSpPr/>
      </dsp:nvSpPr>
      <dsp:spPr>
        <a:xfrm>
          <a:off x="877855" y="1975078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날씨 기능 </a:t>
          </a:r>
          <a:r>
            <a:rPr kumimoji="1" lang="en-US" altLang="ko-KR" sz="700" kern="1200"/>
            <a:t>(</a:t>
          </a:r>
          <a:r>
            <a:rPr kumimoji="1" lang="ko-KR" altLang="en-US" sz="700" kern="1200"/>
            <a:t>무거워져서 타 파일에 만들고 연계</a:t>
          </a:r>
          <a:r>
            <a:rPr kumimoji="1" lang="en-US" altLang="ko-KR" sz="700" kern="1200"/>
            <a:t>)</a:t>
          </a:r>
          <a:endParaRPr kumimoji="1" lang="ja-JP" altLang="en-US" sz="700" kern="1200"/>
        </a:p>
      </dsp:txBody>
      <dsp:txXfrm>
        <a:off x="877855" y="1975078"/>
        <a:ext cx="3205194" cy="311036"/>
      </dsp:txXfrm>
    </dsp:sp>
    <dsp:sp modelId="{95F9F1D3-E3EE-42D3-840E-2EAC6F56E434}">
      <dsp:nvSpPr>
        <dsp:cNvPr id="0" name=""/>
        <dsp:cNvSpPr/>
      </dsp:nvSpPr>
      <dsp:spPr>
        <a:xfrm>
          <a:off x="816610" y="2286114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B0A75696-F49E-4045-9B81-1D55F1883AFE}">
      <dsp:nvSpPr>
        <dsp:cNvPr id="0" name=""/>
        <dsp:cNvSpPr/>
      </dsp:nvSpPr>
      <dsp:spPr>
        <a:xfrm>
          <a:off x="877855" y="2301666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달력으로 이동</a:t>
          </a:r>
          <a:endParaRPr kumimoji="1" lang="ja-JP" altLang="en-US" sz="700" kern="1200"/>
        </a:p>
      </dsp:txBody>
      <dsp:txXfrm>
        <a:off x="877855" y="2301666"/>
        <a:ext cx="3205194" cy="311036"/>
      </dsp:txXfrm>
    </dsp:sp>
    <dsp:sp modelId="{87A5CA77-E190-4F0C-9AF6-DCC817573619}">
      <dsp:nvSpPr>
        <dsp:cNvPr id="0" name=""/>
        <dsp:cNvSpPr/>
      </dsp:nvSpPr>
      <dsp:spPr>
        <a:xfrm>
          <a:off x="816610" y="2612702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  <dsp:sp modelId="{6A0D3AEF-BD84-4C93-A82C-41D239E6E616}">
      <dsp:nvSpPr>
        <dsp:cNvPr id="0" name=""/>
        <dsp:cNvSpPr/>
      </dsp:nvSpPr>
      <dsp:spPr>
        <a:xfrm>
          <a:off x="877855" y="2628254"/>
          <a:ext cx="3205194" cy="311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t" anchorCtr="0">
          <a:noAutofit/>
        </a:bodyPr>
        <a:lstStyle/>
        <a:p>
          <a:pPr marL="0" lvl="0" indent="0" algn="l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kumimoji="1" lang="ko-KR" altLang="en-US" sz="700" kern="1200"/>
            <a:t>일본어</a:t>
          </a:r>
          <a:r>
            <a:rPr kumimoji="1" lang="en-US" altLang="ko-KR" sz="700" kern="1200"/>
            <a:t>/</a:t>
          </a:r>
          <a:r>
            <a:rPr kumimoji="1" lang="ko-KR" altLang="en-US" sz="700" kern="1200"/>
            <a:t>영어</a:t>
          </a:r>
          <a:r>
            <a:rPr kumimoji="1" lang="en-US" altLang="ko-KR" sz="700" kern="1200"/>
            <a:t>/</a:t>
          </a:r>
          <a:r>
            <a:rPr kumimoji="1" lang="ko-KR" altLang="en-US" sz="700" kern="1200"/>
            <a:t>한국어판 제작 </a:t>
          </a:r>
          <a:r>
            <a:rPr kumimoji="1" lang="en-US" altLang="ko-KR" sz="700" kern="1200"/>
            <a:t>(</a:t>
          </a:r>
          <a:r>
            <a:rPr kumimoji="1" lang="ko-KR" altLang="en-US" sz="700" kern="1200"/>
            <a:t>코드는 비번 걸어두기</a:t>
          </a:r>
          <a:r>
            <a:rPr kumimoji="1" lang="en-US" altLang="ko-KR" sz="700" kern="1200"/>
            <a:t>) : </a:t>
          </a:r>
          <a:r>
            <a:rPr kumimoji="1" lang="ko-KR" altLang="en-US" sz="700" kern="1200"/>
            <a:t>상업용 프로젝트로도 제작</a:t>
          </a:r>
          <a:endParaRPr kumimoji="1" lang="ja-JP" altLang="en-US" sz="700" kern="1200"/>
        </a:p>
      </dsp:txBody>
      <dsp:txXfrm>
        <a:off x="877855" y="2628254"/>
        <a:ext cx="3205194" cy="311036"/>
      </dsp:txXfrm>
    </dsp:sp>
    <dsp:sp modelId="{297067C6-D55F-4AEE-8978-782DEBA26E84}">
      <dsp:nvSpPr>
        <dsp:cNvPr id="0" name=""/>
        <dsp:cNvSpPr/>
      </dsp:nvSpPr>
      <dsp:spPr>
        <a:xfrm>
          <a:off x="816610" y="2939290"/>
          <a:ext cx="3266440" cy="0"/>
        </a:xfrm>
        <a:prstGeom prst="line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2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2">
  <dgm:title val=""/>
  <dgm:desc val=""/>
  <dgm:catLst>
    <dgm:cat type="simple" pri="102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2">
  <dgm:title val=""/>
  <dgm:desc val=""/>
  <dgm:catLst>
    <dgm:cat type="simple" pri="102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2">
  <dgm:title val=""/>
  <dgm:desc val=""/>
  <dgm:catLst>
    <dgm:cat type="simple" pri="102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13" Type="http://schemas.openxmlformats.org/officeDocument/2006/relationships/image" Target="../media/image22.png"/><Relationship Id="rId18" Type="http://schemas.openxmlformats.org/officeDocument/2006/relationships/image" Target="../media/image27.sv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12" Type="http://schemas.openxmlformats.org/officeDocument/2006/relationships/image" Target="../media/image21.svg"/><Relationship Id="rId17" Type="http://schemas.openxmlformats.org/officeDocument/2006/relationships/image" Target="../media/image26.png"/><Relationship Id="rId2" Type="http://schemas.openxmlformats.org/officeDocument/2006/relationships/image" Target="../media/image11.svg"/><Relationship Id="rId16" Type="http://schemas.openxmlformats.org/officeDocument/2006/relationships/image" Target="../media/image25.svg"/><Relationship Id="rId1" Type="http://schemas.openxmlformats.org/officeDocument/2006/relationships/image" Target="../media/image10.png"/><Relationship Id="rId6" Type="http://schemas.openxmlformats.org/officeDocument/2006/relationships/image" Target="../media/image15.svg"/><Relationship Id="rId11" Type="http://schemas.openxmlformats.org/officeDocument/2006/relationships/image" Target="../media/image20.png"/><Relationship Id="rId5" Type="http://schemas.openxmlformats.org/officeDocument/2006/relationships/image" Target="../media/image14.png"/><Relationship Id="rId15" Type="http://schemas.openxmlformats.org/officeDocument/2006/relationships/image" Target="../media/image24.png"/><Relationship Id="rId10" Type="http://schemas.openxmlformats.org/officeDocument/2006/relationships/image" Target="../media/image19.svg"/><Relationship Id="rId4" Type="http://schemas.openxmlformats.org/officeDocument/2006/relationships/image" Target="../media/image13.svg"/><Relationship Id="rId9" Type="http://schemas.openxmlformats.org/officeDocument/2006/relationships/image" Target="../media/image18.png"/><Relationship Id="rId14" Type="http://schemas.openxmlformats.org/officeDocument/2006/relationships/image" Target="../media/image2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29.svg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28.pn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3.xml"/><Relationship Id="rId3" Type="http://schemas.openxmlformats.org/officeDocument/2006/relationships/diagramQuickStyle" Target="../diagrams/quickStyle2.xml"/><Relationship Id="rId7" Type="http://schemas.openxmlformats.org/officeDocument/2006/relationships/diagramLayout" Target="../diagrams/layout3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6" Type="http://schemas.openxmlformats.org/officeDocument/2006/relationships/diagramData" Target="../diagrams/data3.xml"/><Relationship Id="rId5" Type="http://schemas.microsoft.com/office/2007/relationships/diagramDrawing" Target="../diagrams/drawing2.xml"/><Relationship Id="rId10" Type="http://schemas.microsoft.com/office/2007/relationships/diagramDrawing" Target="../diagrams/drawing3.xml"/><Relationship Id="rId4" Type="http://schemas.openxmlformats.org/officeDocument/2006/relationships/diagramColors" Target="../diagrams/colors2.xml"/><Relationship Id="rId9" Type="http://schemas.openxmlformats.org/officeDocument/2006/relationships/diagramColors" Target="../diagrams/colors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1062182</xdr:colOff>
      <xdr:row>1</xdr:row>
      <xdr:rowOff>92365</xdr:rowOff>
    </xdr:from>
    <xdr:to>
      <xdr:col>13</xdr:col>
      <xdr:colOff>1976582</xdr:colOff>
      <xdr:row>5</xdr:row>
      <xdr:rowOff>83128</xdr:rowOff>
    </xdr:to>
    <xdr:pic macro="[0]!Plan_Clear">
      <xdr:nvPicPr>
        <xdr:cNvPr id="8" name="그래픽 7" descr="닫기">
          <a:extLst>
            <a:ext uri="{FF2B5EF4-FFF2-40B4-BE49-F238E27FC236}">
              <a16:creationId xmlns:a16="http://schemas.microsoft.com/office/drawing/2014/main" id="{67662672-6CAE-473B-952F-C5B3D354C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60637" y="55418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286240</xdr:colOff>
      <xdr:row>1</xdr:row>
      <xdr:rowOff>74378</xdr:rowOff>
    </xdr:from>
    <xdr:to>
      <xdr:col>13</xdr:col>
      <xdr:colOff>842730</xdr:colOff>
      <xdr:row>5</xdr:row>
      <xdr:rowOff>71491</xdr:rowOff>
    </xdr:to>
    <xdr:pic macro="[0]!Construct">
      <xdr:nvPicPr>
        <xdr:cNvPr id="10" name="그래픽 9" descr="확인 표시">
          <a:extLst>
            <a:ext uri="{FF2B5EF4-FFF2-40B4-BE49-F238E27FC236}">
              <a16:creationId xmlns:a16="http://schemas.microsoft.com/office/drawing/2014/main" id="{9DA71733-5449-41C1-9CB8-5B7A3B494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26785" y="536196"/>
          <a:ext cx="914400" cy="920750"/>
        </a:xfrm>
        <a:prstGeom prst="rect">
          <a:avLst/>
        </a:prstGeom>
      </xdr:spPr>
    </xdr:pic>
    <xdr:clientData/>
  </xdr:twoCellAnchor>
  <xdr:twoCellAnchor editAs="oneCell">
    <xdr:from>
      <xdr:col>5</xdr:col>
      <xdr:colOff>877454</xdr:colOff>
      <xdr:row>0</xdr:row>
      <xdr:rowOff>404092</xdr:rowOff>
    </xdr:from>
    <xdr:to>
      <xdr:col>7</xdr:col>
      <xdr:colOff>2191038</xdr:colOff>
      <xdr:row>5</xdr:row>
      <xdr:rowOff>161637</xdr:rowOff>
    </xdr:to>
    <xdr:pic>
      <xdr:nvPicPr>
        <xdr:cNvPr id="4" name="画像 2" descr="春の建物と木" title="ヘッダー春">
          <a:extLst>
            <a:ext uri="{FF2B5EF4-FFF2-40B4-BE49-F238E27FC236}">
              <a16:creationId xmlns:a16="http://schemas.microsoft.com/office/drawing/2014/main" id="{90C083D2-F6A6-4371-889A-A94AF276D6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791363" y="404092"/>
          <a:ext cx="4003675" cy="1143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184727</xdr:colOff>
          <xdr:row>8</xdr:row>
          <xdr:rowOff>0</xdr:rowOff>
        </xdr:from>
        <xdr:to>
          <xdr:col>17</xdr:col>
          <xdr:colOff>796637</xdr:colOff>
          <xdr:row>13</xdr:row>
          <xdr:rowOff>334819</xdr:rowOff>
        </xdr:to>
        <xdr:pic>
          <xdr:nvPicPr>
            <xdr:cNvPr id="14" name="그림 13">
              <a:extLst>
                <a:ext uri="{FF2B5EF4-FFF2-40B4-BE49-F238E27FC236}">
                  <a16:creationId xmlns:a16="http://schemas.microsoft.com/office/drawing/2014/main" id="{2ECB6B45-4A85-45CE-B700-50A1AF834E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W$1:$AC$8" spid="_x0000_s594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9096182" y="2078182"/>
              <a:ext cx="1928091" cy="207818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178704</xdr:colOff>
          <xdr:row>14</xdr:row>
          <xdr:rowOff>207818</xdr:rowOff>
        </xdr:from>
        <xdr:to>
          <xdr:col>17</xdr:col>
          <xdr:colOff>790614</xdr:colOff>
          <xdr:row>19</xdr:row>
          <xdr:rowOff>207818</xdr:rowOff>
        </xdr:to>
        <xdr:pic>
          <xdr:nvPicPr>
            <xdr:cNvPr id="16" name="그림 15">
              <a:extLst>
                <a:ext uri="{FF2B5EF4-FFF2-40B4-BE49-F238E27FC236}">
                  <a16:creationId xmlns:a16="http://schemas.microsoft.com/office/drawing/2014/main" id="{74CC08D1-947F-4AC2-9737-6A584B9C095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E$1:$AK$7" spid="_x0000_s594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9046487" y="4376731"/>
              <a:ext cx="1937127" cy="184928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982670</xdr:colOff>
      <xdr:row>0</xdr:row>
      <xdr:rowOff>20781</xdr:rowOff>
    </xdr:from>
    <xdr:to>
      <xdr:col>17</xdr:col>
      <xdr:colOff>1214581</xdr:colOff>
      <xdr:row>0</xdr:row>
      <xdr:rowOff>252692</xdr:rowOff>
    </xdr:to>
    <xdr:pic macro="[0]!Insert_Memo">
      <xdr:nvPicPr>
        <xdr:cNvPr id="12" name="그래픽 11" descr="연필">
          <a:extLst>
            <a:ext uri="{FF2B5EF4-FFF2-40B4-BE49-F238E27FC236}">
              <a16:creationId xmlns:a16="http://schemas.microsoft.com/office/drawing/2014/main" id="{BD1E43FF-0D4E-4EAB-AC9A-4B5027D8D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 flipH="1">
          <a:off x="8762800" y="20781"/>
          <a:ext cx="231911" cy="231911"/>
        </a:xfrm>
        <a:prstGeom prst="rect">
          <a:avLst/>
        </a:prstGeom>
      </xdr:spPr>
    </xdr:pic>
    <xdr:clientData/>
  </xdr:twoCellAnchor>
  <xdr:twoCellAnchor editAs="oneCell">
    <xdr:from>
      <xdr:col>17</xdr:col>
      <xdr:colOff>1650232</xdr:colOff>
      <xdr:row>0</xdr:row>
      <xdr:rowOff>264178</xdr:rowOff>
    </xdr:from>
    <xdr:to>
      <xdr:col>17</xdr:col>
      <xdr:colOff>1888837</xdr:colOff>
      <xdr:row>0</xdr:row>
      <xdr:rowOff>496089</xdr:rowOff>
    </xdr:to>
    <xdr:pic macro="[0]!NotYet">
      <xdr:nvPicPr>
        <xdr:cNvPr id="13" name="그래픽 12" descr="프레젠테이션 막대형 차트">
          <a:extLst>
            <a:ext uri="{FF2B5EF4-FFF2-40B4-BE49-F238E27FC236}">
              <a16:creationId xmlns:a16="http://schemas.microsoft.com/office/drawing/2014/main" id="{A6899429-A7D1-45A9-AE10-1003338FB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flipH="1">
          <a:off x="9430362" y="264178"/>
          <a:ext cx="238605" cy="231911"/>
        </a:xfrm>
        <a:prstGeom prst="rect">
          <a:avLst/>
        </a:prstGeom>
      </xdr:spPr>
    </xdr:pic>
    <xdr:clientData/>
  </xdr:twoCellAnchor>
  <xdr:twoCellAnchor editAs="oneCell">
    <xdr:from>
      <xdr:col>17</xdr:col>
      <xdr:colOff>1429607</xdr:colOff>
      <xdr:row>0</xdr:row>
      <xdr:rowOff>17028</xdr:rowOff>
    </xdr:from>
    <xdr:to>
      <xdr:col>17</xdr:col>
      <xdr:colOff>1661519</xdr:colOff>
      <xdr:row>0</xdr:row>
      <xdr:rowOff>248940</xdr:rowOff>
    </xdr:to>
    <xdr:pic macro="[0]!Diary">
      <xdr:nvPicPr>
        <xdr:cNvPr id="14" name="그래픽 13" descr="구두 발자국">
          <a:extLst>
            <a:ext uri="{FF2B5EF4-FFF2-40B4-BE49-F238E27FC236}">
              <a16:creationId xmlns:a16="http://schemas.microsoft.com/office/drawing/2014/main" id="{05758CB7-E738-4C7E-8A46-060F8D33F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 flipH="1">
          <a:off x="9209737" y="17028"/>
          <a:ext cx="231912" cy="231912"/>
        </a:xfrm>
        <a:prstGeom prst="rect">
          <a:avLst/>
        </a:prstGeom>
      </xdr:spPr>
    </xdr:pic>
    <xdr:clientData/>
  </xdr:twoCellAnchor>
  <xdr:twoCellAnchor editAs="oneCell">
    <xdr:from>
      <xdr:col>17</xdr:col>
      <xdr:colOff>2098172</xdr:colOff>
      <xdr:row>0</xdr:row>
      <xdr:rowOff>270565</xdr:rowOff>
    </xdr:from>
    <xdr:to>
      <xdr:col>17</xdr:col>
      <xdr:colOff>2336778</xdr:colOff>
      <xdr:row>0</xdr:row>
      <xdr:rowOff>502476</xdr:rowOff>
    </xdr:to>
    <xdr:pic macro="[0]!NotYet">
      <xdr:nvPicPr>
        <xdr:cNvPr id="15" name="그래픽 14" descr="단일 톱니바퀴">
          <a:extLst>
            <a:ext uri="{FF2B5EF4-FFF2-40B4-BE49-F238E27FC236}">
              <a16:creationId xmlns:a16="http://schemas.microsoft.com/office/drawing/2014/main" id="{DB138BA0-4231-43BD-9B4D-26870033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9878302" y="270565"/>
          <a:ext cx="238606" cy="231911"/>
        </a:xfrm>
        <a:prstGeom prst="rect">
          <a:avLst/>
        </a:prstGeom>
      </xdr:spPr>
    </xdr:pic>
    <xdr:clientData/>
  </xdr:twoCellAnchor>
  <xdr:twoCellAnchor editAs="oneCell">
    <xdr:from>
      <xdr:col>17</xdr:col>
      <xdr:colOff>426664</xdr:colOff>
      <xdr:row>0</xdr:row>
      <xdr:rowOff>13276</xdr:rowOff>
    </xdr:from>
    <xdr:to>
      <xdr:col>17</xdr:col>
      <xdr:colOff>658575</xdr:colOff>
      <xdr:row>0</xdr:row>
      <xdr:rowOff>245187</xdr:rowOff>
    </xdr:to>
    <xdr:pic macro="[0]!Go_Back">
      <xdr:nvPicPr>
        <xdr:cNvPr id="17" name="그래픽 16" descr="시작">
          <a:extLst>
            <a:ext uri="{FF2B5EF4-FFF2-40B4-BE49-F238E27FC236}">
              <a16:creationId xmlns:a16="http://schemas.microsoft.com/office/drawing/2014/main" id="{167F7D96-2584-494B-AC64-EBEEE3457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 rot="10800000" flipH="1">
          <a:off x="8206794" y="13276"/>
          <a:ext cx="231911" cy="231911"/>
        </a:xfrm>
        <a:prstGeom prst="rect">
          <a:avLst/>
        </a:prstGeom>
      </xdr:spPr>
    </xdr:pic>
    <xdr:clientData/>
  </xdr:twoCellAnchor>
  <xdr:twoCellAnchor editAs="oneCell">
    <xdr:from>
      <xdr:col>17</xdr:col>
      <xdr:colOff>56445</xdr:colOff>
      <xdr:row>0</xdr:row>
      <xdr:rowOff>83</xdr:rowOff>
    </xdr:from>
    <xdr:to>
      <xdr:col>17</xdr:col>
      <xdr:colOff>341071</xdr:colOff>
      <xdr:row>0</xdr:row>
      <xdr:rowOff>231994</xdr:rowOff>
    </xdr:to>
    <xdr:pic macro="[0]!Go_Today">
      <xdr:nvPicPr>
        <xdr:cNvPr id="18" name="그래픽 17" descr="한 경로로 두 개 핀 보내기">
          <a:extLst>
            <a:ext uri="{FF2B5EF4-FFF2-40B4-BE49-F238E27FC236}">
              <a16:creationId xmlns:a16="http://schemas.microsoft.com/office/drawing/2014/main" id="{B62183D7-4238-4542-BD7E-ACAA1C335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7836575" y="83"/>
          <a:ext cx="284626" cy="231911"/>
        </a:xfrm>
        <a:prstGeom prst="rect">
          <a:avLst/>
        </a:prstGeom>
      </xdr:spPr>
    </xdr:pic>
    <xdr:clientData/>
  </xdr:twoCellAnchor>
  <xdr:twoCellAnchor editAs="oneCell">
    <xdr:from>
      <xdr:col>17</xdr:col>
      <xdr:colOff>1203294</xdr:colOff>
      <xdr:row>0</xdr:row>
      <xdr:rowOff>3835</xdr:rowOff>
    </xdr:from>
    <xdr:to>
      <xdr:col>17</xdr:col>
      <xdr:colOff>1440894</xdr:colOff>
      <xdr:row>0</xdr:row>
      <xdr:rowOff>241435</xdr:rowOff>
    </xdr:to>
    <xdr:pic macro="[0]!Delete_Memo">
      <xdr:nvPicPr>
        <xdr:cNvPr id="19" name="그래픽 18" descr="쓰레기">
          <a:extLst>
            <a:ext uri="{FF2B5EF4-FFF2-40B4-BE49-F238E27FC236}">
              <a16:creationId xmlns:a16="http://schemas.microsoft.com/office/drawing/2014/main" id="{12B25037-4BFE-4A23-A2C0-AFD858A5F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 flipH="1">
          <a:off x="8983424" y="3835"/>
          <a:ext cx="237600" cy="237600"/>
        </a:xfrm>
        <a:prstGeom prst="rect">
          <a:avLst/>
        </a:prstGeom>
      </xdr:spPr>
    </xdr:pic>
    <xdr:clientData/>
  </xdr:twoCellAnchor>
  <xdr:twoCellAnchor editAs="oneCell">
    <xdr:from>
      <xdr:col>17</xdr:col>
      <xdr:colOff>1877550</xdr:colOff>
      <xdr:row>0</xdr:row>
      <xdr:rowOff>24534</xdr:rowOff>
    </xdr:from>
    <xdr:to>
      <xdr:col>17</xdr:col>
      <xdr:colOff>2109461</xdr:colOff>
      <xdr:row>0</xdr:row>
      <xdr:rowOff>256445</xdr:rowOff>
    </xdr:to>
    <xdr:pic macro="[0]!FontArg_Plan">
      <xdr:nvPicPr>
        <xdr:cNvPr id="9" name="그래픽 8" descr="퍼즐 조각">
          <a:extLst>
            <a:ext uri="{FF2B5EF4-FFF2-40B4-BE49-F238E27FC236}">
              <a16:creationId xmlns:a16="http://schemas.microsoft.com/office/drawing/2014/main" id="{8CEA5608-0FA5-4D33-A8A4-6D35177C4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 flipH="1">
          <a:off x="9657680" y="24534"/>
          <a:ext cx="231911" cy="231911"/>
        </a:xfrm>
        <a:prstGeom prst="rect">
          <a:avLst/>
        </a:prstGeom>
      </xdr:spPr>
    </xdr:pic>
    <xdr:clientData/>
  </xdr:twoCellAnchor>
  <xdr:twoCellAnchor editAs="oneCell">
    <xdr:from>
      <xdr:col>17</xdr:col>
      <xdr:colOff>1880187</xdr:colOff>
      <xdr:row>0</xdr:row>
      <xdr:rowOff>252256</xdr:rowOff>
    </xdr:from>
    <xdr:to>
      <xdr:col>17</xdr:col>
      <xdr:colOff>2112099</xdr:colOff>
      <xdr:row>0</xdr:row>
      <xdr:rowOff>484168</xdr:rowOff>
    </xdr:to>
    <xdr:pic macro="[0]!NotYet">
      <xdr:nvPicPr>
        <xdr:cNvPr id="10" name="그래픽 9" descr="하루 일정">
          <a:extLst>
            <a:ext uri="{FF2B5EF4-FFF2-40B4-BE49-F238E27FC236}">
              <a16:creationId xmlns:a16="http://schemas.microsoft.com/office/drawing/2014/main" id="{7D288F9A-883F-428C-ADE3-47E1F1971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 flipH="1">
          <a:off x="9660317" y="252256"/>
          <a:ext cx="231912" cy="2319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98237</xdr:colOff>
      <xdr:row>0</xdr:row>
      <xdr:rowOff>117101</xdr:rowOff>
    </xdr:from>
    <xdr:to>
      <xdr:col>19</xdr:col>
      <xdr:colOff>253999</xdr:colOff>
      <xdr:row>14</xdr:row>
      <xdr:rowOff>14941</xdr:rowOff>
    </xdr:to>
    <xdr:graphicFrame macro="">
      <xdr:nvGraphicFramePr>
        <xdr:cNvPr id="3" name="다이어그램 2">
          <a:extLst>
            <a:ext uri="{FF2B5EF4-FFF2-40B4-BE49-F238E27FC236}">
              <a16:creationId xmlns:a16="http://schemas.microsoft.com/office/drawing/2014/main" id="{1D566DC4-5AC7-4751-BB13-097064784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128106</xdr:colOff>
      <xdr:row>3</xdr:row>
      <xdr:rowOff>83297</xdr:rowOff>
    </xdr:from>
    <xdr:to>
      <xdr:col>15</xdr:col>
      <xdr:colOff>357029</xdr:colOff>
      <xdr:row>4</xdr:row>
      <xdr:rowOff>86608</xdr:rowOff>
    </xdr:to>
    <xdr:pic macro="[0]!Go_PlanSheet">
      <xdr:nvPicPr>
        <xdr:cNvPr id="5" name="그래픽 4" descr="점검 목록">
          <a:extLst>
            <a:ext uri="{FF2B5EF4-FFF2-40B4-BE49-F238E27FC236}">
              <a16:creationId xmlns:a16="http://schemas.microsoft.com/office/drawing/2014/main" id="{E601C833-6384-499C-BD8E-3FE81969D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rcRect/>
        <a:stretch/>
      </xdr:blipFill>
      <xdr:spPr>
        <a:xfrm>
          <a:off x="7187812" y="778062"/>
          <a:ext cx="228923" cy="2348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267583</xdr:colOff>
      <xdr:row>0</xdr:row>
      <xdr:rowOff>0</xdr:rowOff>
    </xdr:from>
    <xdr:to>
      <xdr:col>8</xdr:col>
      <xdr:colOff>208667</xdr:colOff>
      <xdr:row>3</xdr:row>
      <xdr:rowOff>7275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A18F66-9E17-46E0-BFFC-64760AA7C590}"/>
            </a:ext>
          </a:extLst>
        </xdr:cNvPr>
        <xdr:cNvSpPr/>
      </xdr:nvSpPr>
      <xdr:spPr>
        <a:xfrm>
          <a:off x="3753733" y="0"/>
          <a:ext cx="1261884" cy="69307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ja-JP" altLang="en-US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メーモ</a:t>
          </a:r>
          <a:endParaRPr lang="en-US" altLang="ko-KR" sz="40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twoCellAnchor editAs="absolute">
    <xdr:from>
      <xdr:col>13</xdr:col>
      <xdr:colOff>285750</xdr:colOff>
      <xdr:row>13</xdr:row>
      <xdr:rowOff>133350</xdr:rowOff>
    </xdr:from>
    <xdr:to>
      <xdr:col>17</xdr:col>
      <xdr:colOff>575209</xdr:colOff>
      <xdr:row>17</xdr:row>
      <xdr:rowOff>219160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37DACB4-E213-4499-BECF-BBF0217893B4}"/>
            </a:ext>
          </a:extLst>
        </xdr:cNvPr>
        <xdr:cNvSpPr/>
      </xdr:nvSpPr>
      <xdr:spPr>
        <a:xfrm>
          <a:off x="8394700" y="3105150"/>
          <a:ext cx="2931059" cy="10002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제작자 </a:t>
          </a:r>
          <a:r>
            <a:rPr lang="en-US" altLang="ko-KR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: </a:t>
          </a:r>
          <a:r>
            <a:rPr lang="ko-KR" alt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양동화</a:t>
          </a:r>
          <a:endParaRPr lang="en-US" altLang="ko-KR" sz="2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  <a:p>
          <a:pPr algn="ctr"/>
          <a:r>
            <a:rPr lang="en-US" altLang="ko-KR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ydhvocal@gmail.com</a:t>
          </a:r>
        </a:p>
      </xdr:txBody>
    </xdr:sp>
    <xdr:clientData/>
  </xdr:twoCellAnchor>
  <xdr:twoCellAnchor editAs="absolute">
    <xdr:from>
      <xdr:col>12</xdr:col>
      <xdr:colOff>0</xdr:colOff>
      <xdr:row>1</xdr:row>
      <xdr:rowOff>0</xdr:rowOff>
    </xdr:from>
    <xdr:to>
      <xdr:col>18</xdr:col>
      <xdr:colOff>120650</xdr:colOff>
      <xdr:row>13</xdr:row>
      <xdr:rowOff>212725</xdr:rowOff>
    </xdr:to>
    <xdr:graphicFrame macro="">
      <xdr:nvGraphicFramePr>
        <xdr:cNvPr id="7" name="다이어그램 6">
          <a:extLst>
            <a:ext uri="{FF2B5EF4-FFF2-40B4-BE49-F238E27FC236}">
              <a16:creationId xmlns:a16="http://schemas.microsoft.com/office/drawing/2014/main" id="{1B314D13-82EA-4DD7-A85A-A334D68B0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12</xdr:col>
      <xdr:colOff>0</xdr:colOff>
      <xdr:row>19</xdr:row>
      <xdr:rowOff>0</xdr:rowOff>
    </xdr:from>
    <xdr:to>
      <xdr:col>18</xdr:col>
      <xdr:colOff>120650</xdr:colOff>
      <xdr:row>31</xdr:row>
      <xdr:rowOff>212725</xdr:rowOff>
    </xdr:to>
    <xdr:graphicFrame macro="">
      <xdr:nvGraphicFramePr>
        <xdr:cNvPr id="8" name="다이어그램 7">
          <a:extLst>
            <a:ext uri="{FF2B5EF4-FFF2-40B4-BE49-F238E27FC236}">
              <a16:creationId xmlns:a16="http://schemas.microsoft.com/office/drawing/2014/main" id="{70E4FB1A-4909-4C82-9AFF-69268147D5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D99F8-D833-4923-9D31-13C26956F445}">
  <sheetPr codeName="Sheet1"/>
  <dimension ref="A1:AO31"/>
  <sheetViews>
    <sheetView showGridLines="0" zoomScale="55" zoomScaleNormal="55" workbookViewId="0">
      <selection activeCell="D20" sqref="D20"/>
    </sheetView>
  </sheetViews>
  <sheetFormatPr defaultRowHeight="18"/>
  <cols>
    <col min="1" max="1" width="4.6640625" style="3" customWidth="1"/>
    <col min="2" max="2" width="30.58203125" style="3" customWidth="1"/>
    <col min="3" max="3" width="4.6640625" style="3" customWidth="1"/>
    <col min="4" max="4" width="30.58203125" style="3" customWidth="1"/>
    <col min="5" max="5" width="4.6640625" style="3" customWidth="1"/>
    <col min="6" max="6" width="30.58203125" style="3" customWidth="1"/>
    <col min="7" max="7" width="4.6640625" style="3" customWidth="1"/>
    <col min="8" max="8" width="30.58203125" style="3" customWidth="1"/>
    <col min="9" max="9" width="4.6640625" style="3" customWidth="1"/>
    <col min="10" max="10" width="30.58203125" style="3" customWidth="1"/>
    <col min="11" max="11" width="4.6640625" style="3" customWidth="1"/>
    <col min="12" max="12" width="30.58203125" style="3" customWidth="1"/>
    <col min="13" max="13" width="4.6640625" style="3" customWidth="1"/>
    <col min="14" max="14" width="30.58203125" style="3" customWidth="1"/>
    <col min="15" max="15" width="1.08203125" style="3" customWidth="1"/>
    <col min="16" max="17" width="8.6640625" style="3"/>
    <col min="18" max="18" width="13.25" style="3" customWidth="1"/>
    <col min="19" max="19" width="11.9140625" style="3" bestFit="1" customWidth="1"/>
    <col min="20" max="20" width="1.25" style="3" customWidth="1"/>
    <col min="21" max="21" width="1.58203125" style="3" customWidth="1"/>
    <col min="22" max="22" width="1.25" style="3" customWidth="1"/>
    <col min="23" max="23" width="3.4140625" style="3" customWidth="1"/>
    <col min="24" max="29" width="3.58203125" style="3" customWidth="1"/>
    <col min="30" max="30" width="1.58203125" style="3" customWidth="1"/>
    <col min="31" max="31" width="3.4140625" style="3" customWidth="1"/>
    <col min="32" max="37" width="3.58203125" style="3" customWidth="1"/>
    <col min="38" max="16384" width="8.6640625" style="3"/>
  </cols>
  <sheetData>
    <row r="1" spans="1:41" ht="36">
      <c r="A1" s="130">
        <f>DATE(R3,R5,1)</f>
        <v>44044</v>
      </c>
      <c r="B1" s="131"/>
      <c r="C1" s="131"/>
      <c r="D1" s="131"/>
      <c r="E1" s="131"/>
      <c r="F1" s="131"/>
      <c r="G1" s="131"/>
      <c r="H1" s="131"/>
      <c r="P1" s="4"/>
      <c r="W1" s="120">
        <f>DATE(YEAR(A1),MONTH(A1)-1,1)</f>
        <v>44013</v>
      </c>
      <c r="X1" s="121"/>
      <c r="Y1" s="121"/>
      <c r="Z1" s="121"/>
      <c r="AA1" s="121"/>
      <c r="AB1" s="121"/>
      <c r="AC1" s="121"/>
      <c r="AD1" s="5"/>
      <c r="AE1" s="120">
        <f>DATE(YEAR(A1),MONTH(A1)+1,1)</f>
        <v>44075</v>
      </c>
      <c r="AF1" s="121"/>
      <c r="AG1" s="121"/>
      <c r="AH1" s="121"/>
      <c r="AI1" s="121"/>
      <c r="AJ1" s="121"/>
      <c r="AK1" s="121"/>
    </row>
    <row r="2" spans="1:41">
      <c r="A2" s="131"/>
      <c r="B2" s="131"/>
      <c r="C2" s="131"/>
      <c r="D2" s="131"/>
      <c r="E2" s="131"/>
      <c r="F2" s="131"/>
      <c r="G2" s="131"/>
      <c r="H2" s="131"/>
      <c r="W2" s="6" t="str">
        <f>INDEX({"S";"M";"T";"W";"T";"F";"S"},1+MOD(1+1-2,7))</f>
        <v>S</v>
      </c>
      <c r="X2" s="7" t="str">
        <f>INDEX({"S";"M";"T";"W";"T";"F";"S"},1+MOD(1+2-2,7))</f>
        <v>M</v>
      </c>
      <c r="Y2" s="7" t="str">
        <f>INDEX({"S";"M";"T";"W";"T";"F";"S"},1+MOD(1+3-2,7))</f>
        <v>T</v>
      </c>
      <c r="Z2" s="7" t="str">
        <f>INDEX({"S";"M";"T";"W";"T";"F";"S"},1+MOD(1+4-2,7))</f>
        <v>W</v>
      </c>
      <c r="AA2" s="7" t="str">
        <f>INDEX({"S";"M";"T";"W";"T";"F";"S"},1+MOD(1+5-2,7))</f>
        <v>T</v>
      </c>
      <c r="AB2" s="7" t="str">
        <f>INDEX({"S";"M";"T";"W";"T";"F";"S"},1+MOD(1+6-2,7))</f>
        <v>F</v>
      </c>
      <c r="AC2" s="8" t="str">
        <f>INDEX({"S";"M";"T";"W";"T";"F";"S"},1+MOD(1+7-2,7))</f>
        <v>S</v>
      </c>
      <c r="AD2" s="9"/>
      <c r="AE2" s="6" t="str">
        <f>INDEX({"S";"M";"T";"W";"T";"F";"S"},1+MOD(1+1-2,7))</f>
        <v>S</v>
      </c>
      <c r="AF2" s="7" t="str">
        <f>INDEX({"S";"M";"T";"W";"T";"F";"S"},1+MOD(1+2-2,7))</f>
        <v>M</v>
      </c>
      <c r="AG2" s="7" t="str">
        <f>INDEX({"S";"M";"T";"W";"T";"F";"S"},1+MOD(1+3-2,7))</f>
        <v>T</v>
      </c>
      <c r="AH2" s="7" t="str">
        <f>INDEX({"S";"M";"T";"W";"T";"F";"S"},1+MOD(1+4-2,7))</f>
        <v>W</v>
      </c>
      <c r="AI2" s="7" t="str">
        <f>INDEX({"S";"M";"T";"W";"T";"F";"S"},1+MOD(1+5-2,7))</f>
        <v>T</v>
      </c>
      <c r="AJ2" s="7" t="str">
        <f>INDEX({"S";"M";"T";"W";"T";"F";"S"},1+MOD(1+6-2,7))</f>
        <v>F</v>
      </c>
      <c r="AK2" s="8" t="str">
        <f>INDEX({"S";"M";"T";"W";"T";"F";"S"},1+MOD(1+7-2,7))</f>
        <v>S</v>
      </c>
    </row>
    <row r="3" spans="1:41">
      <c r="A3" s="131"/>
      <c r="B3" s="131"/>
      <c r="C3" s="131"/>
      <c r="D3" s="131"/>
      <c r="E3" s="131"/>
      <c r="F3" s="131"/>
      <c r="G3" s="131"/>
      <c r="H3" s="131"/>
      <c r="P3" s="129" t="s">
        <v>0</v>
      </c>
      <c r="Q3" s="129"/>
      <c r="R3" s="128">
        <v>2020</v>
      </c>
      <c r="W3" s="10"/>
      <c r="X3" s="11"/>
      <c r="Y3" s="11"/>
      <c r="Z3" s="11">
        <v>44013</v>
      </c>
      <c r="AA3" s="11">
        <v>44014</v>
      </c>
      <c r="AB3" s="11">
        <v>44015</v>
      </c>
      <c r="AC3" s="12">
        <v>44016</v>
      </c>
      <c r="AD3" s="11"/>
      <c r="AE3" s="10"/>
      <c r="AF3" s="11"/>
      <c r="AG3" s="11">
        <v>44075</v>
      </c>
      <c r="AH3" s="11">
        <v>44076</v>
      </c>
      <c r="AI3" s="11">
        <v>44077</v>
      </c>
      <c r="AJ3" s="11">
        <v>44078</v>
      </c>
      <c r="AK3" s="12">
        <v>44079</v>
      </c>
    </row>
    <row r="4" spans="1:41">
      <c r="A4" s="131"/>
      <c r="B4" s="131"/>
      <c r="C4" s="131"/>
      <c r="D4" s="131"/>
      <c r="E4" s="131"/>
      <c r="F4" s="131"/>
      <c r="G4" s="131"/>
      <c r="H4" s="131"/>
      <c r="P4" s="129"/>
      <c r="Q4" s="129"/>
      <c r="R4" s="128"/>
      <c r="W4" s="10">
        <v>44017</v>
      </c>
      <c r="X4" s="11">
        <v>44018</v>
      </c>
      <c r="Y4" s="11">
        <v>44019</v>
      </c>
      <c r="Z4" s="11">
        <v>44020</v>
      </c>
      <c r="AA4" s="11">
        <v>44021</v>
      </c>
      <c r="AB4" s="11">
        <v>44022</v>
      </c>
      <c r="AC4" s="12">
        <v>44023</v>
      </c>
      <c r="AD4" s="11"/>
      <c r="AE4" s="10">
        <v>44080</v>
      </c>
      <c r="AF4" s="11">
        <v>44081</v>
      </c>
      <c r="AG4" s="11">
        <v>44082</v>
      </c>
      <c r="AH4" s="11">
        <v>44083</v>
      </c>
      <c r="AI4" s="11">
        <v>44084</v>
      </c>
      <c r="AJ4" s="11">
        <v>44085</v>
      </c>
      <c r="AK4" s="12">
        <v>44086</v>
      </c>
    </row>
    <row r="5" spans="1:41">
      <c r="A5" s="131"/>
      <c r="B5" s="131"/>
      <c r="C5" s="131"/>
      <c r="D5" s="131"/>
      <c r="E5" s="131"/>
      <c r="F5" s="131"/>
      <c r="G5" s="131"/>
      <c r="H5" s="131"/>
      <c r="P5" s="129" t="s">
        <v>1</v>
      </c>
      <c r="Q5" s="129"/>
      <c r="R5" s="128">
        <v>8</v>
      </c>
      <c r="W5" s="10">
        <v>44024</v>
      </c>
      <c r="X5" s="11">
        <v>44025</v>
      </c>
      <c r="Y5" s="11">
        <v>44026</v>
      </c>
      <c r="Z5" s="11">
        <v>44027</v>
      </c>
      <c r="AA5" s="11">
        <v>44028</v>
      </c>
      <c r="AB5" s="11">
        <v>44029</v>
      </c>
      <c r="AC5" s="12">
        <v>44030</v>
      </c>
      <c r="AD5" s="11"/>
      <c r="AE5" s="10">
        <v>44087</v>
      </c>
      <c r="AF5" s="11">
        <v>44088</v>
      </c>
      <c r="AG5" s="11">
        <v>44089</v>
      </c>
      <c r="AH5" s="11">
        <v>44090</v>
      </c>
      <c r="AI5" s="11">
        <v>44091</v>
      </c>
      <c r="AJ5" s="11">
        <v>44092</v>
      </c>
      <c r="AK5" s="12">
        <v>44093</v>
      </c>
    </row>
    <row r="6" spans="1:41">
      <c r="A6" s="131"/>
      <c r="B6" s="131"/>
      <c r="C6" s="131"/>
      <c r="D6" s="131"/>
      <c r="E6" s="131"/>
      <c r="F6" s="131"/>
      <c r="G6" s="131"/>
      <c r="H6" s="131"/>
      <c r="P6" s="129"/>
      <c r="Q6" s="129"/>
      <c r="R6" s="128"/>
      <c r="W6" s="10">
        <v>44031</v>
      </c>
      <c r="X6" s="11">
        <v>44032</v>
      </c>
      <c r="Y6" s="11">
        <v>44033</v>
      </c>
      <c r="Z6" s="11">
        <v>44034</v>
      </c>
      <c r="AA6" s="11">
        <v>44035</v>
      </c>
      <c r="AB6" s="11">
        <v>44036</v>
      </c>
      <c r="AC6" s="12">
        <v>44037</v>
      </c>
      <c r="AD6" s="11"/>
      <c r="AE6" s="10">
        <v>44094</v>
      </c>
      <c r="AF6" s="11">
        <v>44095</v>
      </c>
      <c r="AG6" s="11">
        <v>44096</v>
      </c>
      <c r="AH6" s="11">
        <v>44097</v>
      </c>
      <c r="AI6" s="11">
        <v>44098</v>
      </c>
      <c r="AJ6" s="11">
        <v>44099</v>
      </c>
      <c r="AK6" s="12">
        <v>44100</v>
      </c>
    </row>
    <row r="7" spans="1:41">
      <c r="A7" s="131"/>
      <c r="B7" s="131"/>
      <c r="C7" s="131"/>
      <c r="D7" s="131"/>
      <c r="E7" s="131"/>
      <c r="F7" s="131"/>
      <c r="G7" s="131"/>
      <c r="H7" s="131"/>
      <c r="W7" s="10">
        <v>44038</v>
      </c>
      <c r="X7" s="11">
        <v>44039</v>
      </c>
      <c r="Y7" s="11">
        <v>44040</v>
      </c>
      <c r="Z7" s="11">
        <v>44041</v>
      </c>
      <c r="AA7" s="11">
        <v>44042</v>
      </c>
      <c r="AB7" s="11">
        <v>44043</v>
      </c>
      <c r="AC7" s="12"/>
      <c r="AD7" s="11"/>
      <c r="AE7" s="10">
        <v>44101</v>
      </c>
      <c r="AF7" s="11">
        <v>44102</v>
      </c>
      <c r="AG7" s="11">
        <v>44103</v>
      </c>
      <c r="AH7" s="11">
        <v>44104</v>
      </c>
      <c r="AI7" s="11"/>
      <c r="AJ7" s="11"/>
      <c r="AK7" s="12"/>
    </row>
    <row r="8" spans="1:41" ht="18.5" thickBot="1">
      <c r="W8" s="10"/>
      <c r="X8" s="11"/>
      <c r="Y8" s="11"/>
      <c r="Z8" s="11"/>
      <c r="AA8" s="11"/>
      <c r="AB8" s="11"/>
      <c r="AC8" s="11"/>
      <c r="AD8" s="11"/>
      <c r="AE8" s="10"/>
      <c r="AF8" s="11"/>
      <c r="AG8" s="11"/>
      <c r="AH8" s="11"/>
      <c r="AI8" s="11"/>
      <c r="AJ8" s="11"/>
      <c r="AK8" s="11"/>
    </row>
    <row r="9" spans="1:41" ht="21" customHeight="1">
      <c r="A9" s="122">
        <f>A10</f>
        <v>44038</v>
      </c>
      <c r="B9" s="123"/>
      <c r="C9" s="124">
        <f>C10</f>
        <v>44039</v>
      </c>
      <c r="D9" s="125"/>
      <c r="E9" s="124">
        <f>E10</f>
        <v>44040</v>
      </c>
      <c r="F9" s="125"/>
      <c r="G9" s="124">
        <f>G10</f>
        <v>44041</v>
      </c>
      <c r="H9" s="125"/>
      <c r="I9" s="124">
        <f>I10</f>
        <v>44042</v>
      </c>
      <c r="J9" s="125"/>
      <c r="K9" s="124">
        <f>K10</f>
        <v>44043</v>
      </c>
      <c r="L9" s="125"/>
      <c r="M9" s="126">
        <f t="shared" ref="M9" si="0">M10</f>
        <v>44044</v>
      </c>
      <c r="N9" s="127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</row>
    <row r="10" spans="1:41" ht="29">
      <c r="A10" s="14">
        <v>44038</v>
      </c>
      <c r="B10" s="15" t="str">
        <f ca="1">IFERROR(VLOOKUP(A10,祝日,2,FALSE),"")</f>
        <v/>
      </c>
      <c r="C10" s="16">
        <v>44039</v>
      </c>
      <c r="D10" s="17" t="str">
        <f ca="1">IFERROR(VLOOKUP(C10,祝日,2,FALSE),"")</f>
        <v/>
      </c>
      <c r="E10" s="16">
        <v>44040</v>
      </c>
      <c r="F10" s="17" t="str">
        <f ca="1">IFERROR(VLOOKUP(E10,祝日,2,FALSE),"")</f>
        <v/>
      </c>
      <c r="G10" s="16">
        <v>44041</v>
      </c>
      <c r="H10" s="17" t="str">
        <f ca="1">IFERROR(VLOOKUP(G10,祝日,2,FALSE),"")</f>
        <v/>
      </c>
      <c r="I10" s="16">
        <v>44042</v>
      </c>
      <c r="J10" s="17" t="str">
        <f ca="1">IFERROR(VLOOKUP(I10,祝日,2,FALSE),"")</f>
        <v/>
      </c>
      <c r="K10" s="16">
        <v>44043</v>
      </c>
      <c r="L10" s="18" t="str">
        <f ca="1">IFERROR(VLOOKUP(K10,祝日,2,FALSE),"")</f>
        <v/>
      </c>
      <c r="M10" s="19">
        <v>44044</v>
      </c>
      <c r="N10" s="20" t="str">
        <f ca="1">IFERROR(VLOOKUP(M10,祝日,2,FALSE),"")</f>
        <v/>
      </c>
      <c r="AA10" s="21"/>
      <c r="AB10" s="21"/>
      <c r="AC10" s="21"/>
      <c r="AD10" s="21"/>
      <c r="AE10" s="21"/>
      <c r="AF10" s="21"/>
      <c r="AG10" s="21"/>
      <c r="AN10" s="22"/>
      <c r="AO10" s="22"/>
    </row>
    <row r="11" spans="1:41" ht="29">
      <c r="A11" s="23"/>
      <c r="B11" s="24"/>
      <c r="C11" s="25"/>
      <c r="D11" s="26"/>
      <c r="E11" s="27"/>
      <c r="F11" s="26"/>
      <c r="G11" s="25"/>
      <c r="H11" s="26"/>
      <c r="I11" s="25"/>
      <c r="J11" s="26"/>
      <c r="K11" s="25"/>
      <c r="L11" s="28"/>
      <c r="M11" s="29"/>
      <c r="N11" s="30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N11" s="22"/>
      <c r="AO11" s="22"/>
    </row>
    <row r="12" spans="1:41" ht="29">
      <c r="A12" s="32">
        <v>44045</v>
      </c>
      <c r="B12" s="33" t="str">
        <f ca="1">IFERROR(VLOOKUP(A12,祝日,2,FALSE),"")</f>
        <v/>
      </c>
      <c r="C12" s="34">
        <v>44046</v>
      </c>
      <c r="D12" s="35" t="str">
        <f ca="1">IFERROR(VLOOKUP(C12,祝日,2,FALSE),"")</f>
        <v/>
      </c>
      <c r="E12" s="34">
        <v>44047</v>
      </c>
      <c r="F12" s="35" t="str">
        <f ca="1">IFERROR(VLOOKUP(E12,祝日,2,FALSE),"")</f>
        <v/>
      </c>
      <c r="G12" s="34">
        <v>44048</v>
      </c>
      <c r="H12" s="35" t="str">
        <f ca="1">IFERROR(VLOOKUP(G12,祝日,2,FALSE),"")</f>
        <v/>
      </c>
      <c r="I12" s="34">
        <v>44049</v>
      </c>
      <c r="J12" s="35" t="str">
        <f ca="1">IFERROR(VLOOKUP(I12,祝日,2,FALSE),"")</f>
        <v/>
      </c>
      <c r="K12" s="34">
        <v>44050</v>
      </c>
      <c r="L12" s="35" t="str">
        <f ca="1">IFERROR(VLOOKUP(K12,祝日,2,FALSE),"")</f>
        <v/>
      </c>
      <c r="M12" s="36">
        <v>44051</v>
      </c>
      <c r="N12" s="37" t="str">
        <f ca="1">IFERROR(VLOOKUP(M12,祝日,2,FALSE),"")</f>
        <v/>
      </c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</row>
    <row r="13" spans="1:41" ht="29">
      <c r="A13" s="38"/>
      <c r="B13" s="39"/>
      <c r="C13" s="25"/>
      <c r="D13" s="26"/>
      <c r="E13" s="25"/>
      <c r="F13" s="26"/>
      <c r="G13" s="25"/>
      <c r="H13" s="26"/>
      <c r="I13" s="25"/>
      <c r="J13" s="26"/>
      <c r="K13" s="25"/>
      <c r="L13" s="26"/>
      <c r="M13" s="29"/>
      <c r="N13" s="30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40"/>
      <c r="AM13" s="41"/>
      <c r="AN13" s="41"/>
      <c r="AO13" s="42"/>
    </row>
    <row r="14" spans="1:41" ht="29">
      <c r="A14" s="32">
        <v>44052</v>
      </c>
      <c r="B14" s="33" t="str">
        <f ca="1">IFERROR(VLOOKUP(A14,祝日,2,FALSE),"")</f>
        <v/>
      </c>
      <c r="C14" s="34">
        <v>44053</v>
      </c>
      <c r="D14" s="35" t="str">
        <f ca="1">IFERROR(VLOOKUP(C14,祝日,2,FALSE),"")</f>
        <v>山の日</v>
      </c>
      <c r="E14" s="34">
        <v>44054</v>
      </c>
      <c r="F14" s="35" t="str">
        <f ca="1">IFERROR(VLOOKUP(E14,祝日,2,FALSE),"")</f>
        <v/>
      </c>
      <c r="G14" s="34">
        <v>44055</v>
      </c>
      <c r="H14" s="35" t="str">
        <f ca="1">IFERROR(VLOOKUP(G14,祝日,2,FALSE),"")</f>
        <v/>
      </c>
      <c r="I14" s="34">
        <v>44056</v>
      </c>
      <c r="J14" s="35" t="str">
        <f ca="1">IFERROR(VLOOKUP(I14,祝日,2,FALSE),"")</f>
        <v/>
      </c>
      <c r="K14" s="34">
        <v>44057</v>
      </c>
      <c r="L14" s="35" t="str">
        <f ca="1">IFERROR(VLOOKUP(K14,祝日,2,FALSE),"")</f>
        <v/>
      </c>
      <c r="M14" s="36">
        <v>44058</v>
      </c>
      <c r="N14" s="37" t="str">
        <f ca="1">IFERROR(VLOOKUP(M14,祝日,2,FALSE),"")</f>
        <v/>
      </c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40"/>
      <c r="AN14" s="22"/>
      <c r="AO14" s="22"/>
    </row>
    <row r="15" spans="1:41" ht="29">
      <c r="A15" s="38"/>
      <c r="B15" s="39"/>
      <c r="C15" s="25"/>
      <c r="D15" s="26"/>
      <c r="E15" s="25"/>
      <c r="F15" s="26"/>
      <c r="G15" s="25"/>
      <c r="H15" s="26"/>
      <c r="I15" s="25"/>
      <c r="J15" s="26"/>
      <c r="K15" s="25"/>
      <c r="L15" s="26"/>
      <c r="M15" s="29"/>
      <c r="N15" s="30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40"/>
      <c r="AN15" s="22"/>
      <c r="AO15" s="22"/>
    </row>
    <row r="16" spans="1:41" ht="29">
      <c r="A16" s="32">
        <v>44059</v>
      </c>
      <c r="B16" s="33" t="str">
        <f ca="1">IFERROR(VLOOKUP(A16,祝日,2,FALSE),"")</f>
        <v/>
      </c>
      <c r="C16" s="34">
        <v>44060</v>
      </c>
      <c r="D16" s="35" t="str">
        <f ca="1">IFERROR(VLOOKUP(C16,祝日,2,FALSE),"")</f>
        <v/>
      </c>
      <c r="E16" s="34">
        <v>44061</v>
      </c>
      <c r="F16" s="35" t="str">
        <f ca="1">IFERROR(VLOOKUP(E16,祝日,2,FALSE),"")</f>
        <v/>
      </c>
      <c r="G16" s="34">
        <v>44062</v>
      </c>
      <c r="H16" s="35" t="str">
        <f ca="1">IFERROR(VLOOKUP(G16,祝日,2,FALSE),"")</f>
        <v/>
      </c>
      <c r="I16" s="34">
        <v>44063</v>
      </c>
      <c r="J16" s="35" t="str">
        <f ca="1">IFERROR(VLOOKUP(I16,祝日,2,FALSE),"")</f>
        <v/>
      </c>
      <c r="K16" s="34">
        <v>44064</v>
      </c>
      <c r="L16" s="35" t="str">
        <f ca="1">IFERROR(VLOOKUP(K16,祝日,2,FALSE),"")</f>
        <v/>
      </c>
      <c r="M16" s="36">
        <v>44065</v>
      </c>
      <c r="N16" s="37" t="str">
        <f ca="1">IFERROR(VLOOKUP(M16,祝日,2,FALSE),"")</f>
        <v/>
      </c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43"/>
      <c r="AN16" s="22"/>
    </row>
    <row r="17" spans="1:41" ht="29">
      <c r="A17" s="44"/>
      <c r="B17" s="45"/>
      <c r="C17" s="25"/>
      <c r="D17" s="26"/>
      <c r="E17" s="25"/>
      <c r="F17" s="26"/>
      <c r="G17" s="25"/>
      <c r="H17" s="26"/>
      <c r="I17" s="25"/>
      <c r="J17" s="26"/>
      <c r="K17" s="25"/>
      <c r="L17" s="26"/>
      <c r="M17" s="29"/>
      <c r="N17" s="30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40"/>
      <c r="AN17" s="22"/>
      <c r="AO17" s="46"/>
    </row>
    <row r="18" spans="1:41" ht="29">
      <c r="A18" s="32">
        <v>44066</v>
      </c>
      <c r="B18" s="33" t="str">
        <f ca="1">IFERROR(VLOOKUP(A18,祝日,2,FALSE),"")</f>
        <v/>
      </c>
      <c r="C18" s="34">
        <v>44067</v>
      </c>
      <c r="D18" s="35" t="str">
        <f ca="1">IFERROR(VLOOKUP(C18,祝日,2,FALSE),"")</f>
        <v/>
      </c>
      <c r="E18" s="34">
        <v>44068</v>
      </c>
      <c r="F18" s="35" t="str">
        <f ca="1">IFERROR(VLOOKUP(E18,祝日,2,FALSE),"")</f>
        <v/>
      </c>
      <c r="G18" s="34">
        <v>44069</v>
      </c>
      <c r="H18" s="35" t="str">
        <f ca="1">IFERROR(VLOOKUP(G18,祝日,2,FALSE),"")</f>
        <v/>
      </c>
      <c r="I18" s="34">
        <v>44070</v>
      </c>
      <c r="J18" s="35" t="str">
        <f ca="1">IFERROR(VLOOKUP(I18,祝日,2,FALSE),"")</f>
        <v/>
      </c>
      <c r="K18" s="34">
        <v>44071</v>
      </c>
      <c r="L18" s="35" t="str">
        <f ca="1">IFERROR(VLOOKUP(K18,祝日,2,FALSE),"")</f>
        <v/>
      </c>
      <c r="M18" s="36">
        <v>44072</v>
      </c>
      <c r="N18" s="37" t="str">
        <f ca="1">IFERROR(VLOOKUP(M18,祝日,2,FALSE),"")</f>
        <v/>
      </c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N18" s="22"/>
      <c r="AO18" s="22"/>
    </row>
    <row r="19" spans="1:41" ht="29">
      <c r="A19" s="38"/>
      <c r="B19" s="39"/>
      <c r="C19" s="25"/>
      <c r="D19" s="26"/>
      <c r="E19" s="25"/>
      <c r="F19" s="26"/>
      <c r="G19" s="25"/>
      <c r="H19" s="26"/>
      <c r="I19" s="25"/>
      <c r="J19" s="26"/>
      <c r="K19" s="25"/>
      <c r="L19" s="26"/>
      <c r="M19" s="29"/>
      <c r="N19" s="30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</row>
    <row r="20" spans="1:41" ht="29">
      <c r="A20" s="47">
        <v>44073</v>
      </c>
      <c r="B20" s="33" t="str">
        <f>IFERROR(VLOOKUP(A20,#REF!,2,FALSE),"")</f>
        <v/>
      </c>
      <c r="C20" s="34">
        <v>44074</v>
      </c>
      <c r="D20" s="35" t="str">
        <f>IFERROR(VLOOKUP(C20,#REF!,2,FALSE),"")</f>
        <v/>
      </c>
      <c r="E20" s="48" t="s">
        <v>29</v>
      </c>
      <c r="F20" s="49"/>
      <c r="G20" s="49"/>
      <c r="H20" s="49"/>
      <c r="I20" s="49"/>
      <c r="J20" s="49"/>
      <c r="K20" s="49"/>
      <c r="L20" s="49"/>
      <c r="M20" s="50"/>
      <c r="N20" s="51"/>
      <c r="W20" s="52"/>
    </row>
    <row r="21" spans="1:41" ht="29.5" thickBot="1">
      <c r="A21" s="53"/>
      <c r="B21" s="54"/>
      <c r="C21" s="55"/>
      <c r="D21" s="56"/>
      <c r="E21" s="57"/>
      <c r="F21" s="58"/>
      <c r="G21" s="58"/>
      <c r="H21" s="58"/>
      <c r="I21" s="58"/>
      <c r="J21" s="58"/>
      <c r="K21" s="58"/>
      <c r="L21" s="58"/>
      <c r="M21" s="58"/>
      <c r="N21" s="59"/>
      <c r="V21" s="60"/>
      <c r="W21" s="41"/>
      <c r="X21" s="41"/>
      <c r="Y21" s="41"/>
      <c r="Z21" s="41"/>
      <c r="AA21" s="41"/>
      <c r="AB21" s="42"/>
      <c r="AD21" s="60"/>
      <c r="AE21" s="41"/>
      <c r="AF21" s="41"/>
      <c r="AG21" s="40"/>
      <c r="AH21" s="41"/>
      <c r="AI21" s="41"/>
      <c r="AJ21" s="42"/>
    </row>
    <row r="22" spans="1:41">
      <c r="V22" s="21"/>
      <c r="W22" s="21"/>
      <c r="X22" s="21"/>
      <c r="Y22" s="21"/>
      <c r="Z22" s="21"/>
      <c r="AA22" s="21"/>
      <c r="AB22" s="21"/>
      <c r="AG22" s="40"/>
      <c r="AI22" s="22"/>
      <c r="AJ22" s="22"/>
    </row>
    <row r="23" spans="1:41">
      <c r="V23" s="21"/>
      <c r="W23" s="21"/>
      <c r="X23" s="21"/>
      <c r="Y23" s="21"/>
      <c r="Z23" s="21"/>
      <c r="AA23" s="21"/>
      <c r="AB23" s="21"/>
      <c r="AG23" s="40"/>
      <c r="AI23" s="22"/>
      <c r="AJ23" s="22"/>
    </row>
    <row r="24" spans="1:41">
      <c r="V24" s="21"/>
      <c r="W24" s="21"/>
      <c r="X24" s="21"/>
      <c r="Y24" s="21"/>
      <c r="Z24" s="21"/>
      <c r="AA24" s="21"/>
      <c r="AB24" s="21"/>
      <c r="AG24" s="43"/>
      <c r="AI24" s="22"/>
    </row>
    <row r="25" spans="1:41">
      <c r="V25" s="21"/>
      <c r="W25" s="21"/>
      <c r="X25" s="21"/>
      <c r="Y25" s="21"/>
      <c r="Z25" s="21"/>
      <c r="AA25" s="21"/>
      <c r="AB25" s="21"/>
      <c r="AG25" s="40"/>
      <c r="AI25" s="22"/>
      <c r="AJ25" s="46"/>
    </row>
    <row r="26" spans="1:41">
      <c r="R26" s="61"/>
      <c r="V26" s="21"/>
      <c r="W26" s="21"/>
      <c r="X26" s="21"/>
      <c r="Y26" s="21"/>
      <c r="Z26" s="21"/>
      <c r="AA26" s="21"/>
      <c r="AB26" s="21"/>
      <c r="AI26" s="22"/>
      <c r="AJ26" s="22"/>
    </row>
    <row r="27" spans="1:41">
      <c r="R27" s="40"/>
    </row>
    <row r="28" spans="1:41">
      <c r="R28" s="52"/>
    </row>
    <row r="29" spans="1:41">
      <c r="R29" s="40"/>
    </row>
    <row r="31" spans="1:41" ht="20">
      <c r="S31" s="62"/>
    </row>
  </sheetData>
  <sheetProtection formatCells="0" formatColumns="0" formatRows="0" insertColumns="0" insertRows="0" insertHyperlinks="0" deleteColumns="0" deleteRows="0" sort="0" autoFilter="0" pivotTables="0"/>
  <mergeCells count="14">
    <mergeCell ref="W1:AC1"/>
    <mergeCell ref="AE1:AK1"/>
    <mergeCell ref="A9:B9"/>
    <mergeCell ref="C9:D9"/>
    <mergeCell ref="E9:F9"/>
    <mergeCell ref="G9:H9"/>
    <mergeCell ref="I9:J9"/>
    <mergeCell ref="K9:L9"/>
    <mergeCell ref="M9:N9"/>
    <mergeCell ref="R5:R6"/>
    <mergeCell ref="P5:Q6"/>
    <mergeCell ref="P3:Q4"/>
    <mergeCell ref="R3:R4"/>
    <mergeCell ref="A1:H7"/>
  </mergeCells>
  <phoneticPr fontId="4"/>
  <conditionalFormatting sqref="A10:A12 C10:C12 A14 C14 E14 G14 E16 G16 A16:A18 C18 E18 G18 A20 C20 E10:E12 G10:G12 I11">
    <cfRule type="expression" dxfId="38" priority="1">
      <formula>"WEEKDAY(A10,1)=1"</formula>
    </cfRule>
    <cfRule type="expression" dxfId="37" priority="35">
      <formula>MONTH(A10)&lt;&gt;MONTH($A$1)</formula>
    </cfRule>
    <cfRule type="expression" dxfId="36" priority="36">
      <formula>"WEEKDAY(A10,1)=7"</formula>
    </cfRule>
  </conditionalFormatting>
  <conditionalFormatting sqref="I10 I12 I14 I16 I18">
    <cfRule type="expression" dxfId="35" priority="33">
      <formula>MONTH(I10)&lt;&gt;MONTH($A$1)</formula>
    </cfRule>
    <cfRule type="expression" dxfId="34" priority="34">
      <formula>OR(WEEKDAY(I10,1)=1,WEEKDAY(I10,1)=7)</formula>
    </cfRule>
  </conditionalFormatting>
  <conditionalFormatting sqref="A21 A19 A15 A13">
    <cfRule type="expression" dxfId="33" priority="31">
      <formula>MONTH(A13)&lt;&gt;MONTH($A$1)</formula>
    </cfRule>
    <cfRule type="expression" dxfId="32" priority="32">
      <formula>OR(WEEKDAY(A13,1)=1,WEEKDAY(A13,1)=7)</formula>
    </cfRule>
  </conditionalFormatting>
  <conditionalFormatting sqref="C19 E19 G19 I19 C17 E17 G17 I17 C15 E15 G15 I15 C13 E13 G13 I13">
    <cfRule type="expression" dxfId="31" priority="29">
      <formula>MONTH(C13)&lt;&gt;MONTH($A$1)</formula>
    </cfRule>
    <cfRule type="expression" dxfId="30" priority="30">
      <formula>OR(WEEKDAY(C13,1)=1,WEEKDAY(C13,1)=7)</formula>
    </cfRule>
  </conditionalFormatting>
  <conditionalFormatting sqref="C21">
    <cfRule type="expression" dxfId="29" priority="27">
      <formula>MONTH(C21)&lt;&gt;MONTH($A$1)</formula>
    </cfRule>
    <cfRule type="expression" dxfId="28" priority="28">
      <formula>OR(WEEKDAY(C21,1)=1,WEEKDAY(C21,1)=7)</formula>
    </cfRule>
  </conditionalFormatting>
  <conditionalFormatting sqref="K10 K12 K14 K16 K18">
    <cfRule type="expression" dxfId="27" priority="23">
      <formula>MONTH(K10)&lt;&gt;MONTH($A$1)</formula>
    </cfRule>
    <cfRule type="expression" dxfId="26" priority="24">
      <formula>OR(WEEKDAY(K10,1)=1,WEEKDAY(K10,1)=7)</formula>
    </cfRule>
  </conditionalFormatting>
  <conditionalFormatting sqref="K19 K17 K15 K13">
    <cfRule type="expression" dxfId="25" priority="21">
      <formula>MONTH(K13)&lt;&gt;MONTH($A$1)</formula>
    </cfRule>
    <cfRule type="expression" dxfId="24" priority="22">
      <formula>OR(WEEKDAY(K13,1)=1,WEEKDAY(K13,1)=7)</formula>
    </cfRule>
  </conditionalFormatting>
  <conditionalFormatting sqref="K11">
    <cfRule type="expression" dxfId="23" priority="25">
      <formula>MONTH(K11)&lt;&gt;MONTH($A$1)</formula>
    </cfRule>
    <cfRule type="expression" dxfId="22" priority="26">
      <formula>OR(WEEKDAY(K11,1)=1,WEEKDAY(K11,1)=7)</formula>
    </cfRule>
  </conditionalFormatting>
  <conditionalFormatting sqref="M10:M11">
    <cfRule type="expression" dxfId="21" priority="19">
      <formula>MONTH(M10)&lt;&gt;MONTH($A$1)</formula>
    </cfRule>
    <cfRule type="expression" dxfId="20" priority="20">
      <formula>OR(WEEKDAY(M10,1)=1,WEEKDAY(M10,1)=7)</formula>
    </cfRule>
  </conditionalFormatting>
  <conditionalFormatting sqref="M14:M15">
    <cfRule type="expression" dxfId="19" priority="17">
      <formula>MONTH(M14)&lt;&gt;MONTH($A$1)</formula>
    </cfRule>
    <cfRule type="expression" dxfId="18" priority="18">
      <formula>OR(WEEKDAY(M14,1)=1,WEEKDAY(M14,1)=7)</formula>
    </cfRule>
  </conditionalFormatting>
  <conditionalFormatting sqref="M16:M17">
    <cfRule type="expression" dxfId="17" priority="15">
      <formula>MONTH(M16)&lt;&gt;MONTH($A$1)</formula>
    </cfRule>
    <cfRule type="expression" dxfId="16" priority="16">
      <formula>OR(WEEKDAY(M16,1)=1,WEEKDAY(M16,1)=7)</formula>
    </cfRule>
  </conditionalFormatting>
  <conditionalFormatting sqref="M18:M19">
    <cfRule type="expression" dxfId="15" priority="13">
      <formula>MONTH(M18)&lt;&gt;MONTH($A$1)</formula>
    </cfRule>
    <cfRule type="expression" dxfId="14" priority="14">
      <formula>OR(WEEKDAY(M18,1)=1,WEEKDAY(M18,1)=7)</formula>
    </cfRule>
  </conditionalFormatting>
  <conditionalFormatting sqref="M12:M13">
    <cfRule type="expression" dxfId="13" priority="11">
      <formula>MONTH(M12)&lt;&gt;MONTH($A$1)</formula>
    </cfRule>
    <cfRule type="expression" dxfId="12" priority="12">
      <formula>OR(WEEKDAY(M12,1)=1,WEEKDAY(M12,1)=7)</formula>
    </cfRule>
  </conditionalFormatting>
  <conditionalFormatting sqref="X3:AK8">
    <cfRule type="expression" dxfId="11" priority="9" stopIfTrue="1">
      <formula>COUNTIF(祝日,X3)&gt;0</formula>
    </cfRule>
  </conditionalFormatting>
  <conditionalFormatting sqref="C16">
    <cfRule type="expression" dxfId="10" priority="4">
      <formula>MONTH(C16)&lt;&gt;MONTH($A$1)</formula>
    </cfRule>
    <cfRule type="expression" dxfId="9" priority="5">
      <formula>OR(WEEKDAY(C16,1)=1,WEEKDAY(C16,1)=7)</formula>
    </cfRule>
  </conditionalFormatting>
  <conditionalFormatting sqref="A10 C10 E10 G10 I10 K10 M10 M12 K12 I12 G12 E12 C12 A12 A14 C14 E14 G14 I14 K14:M14 M16 K16 I16 G16 E16 C16 A16 A18 C18 E18 G18 I18 K18 M18 C20 A20">
    <cfRule type="expression" dxfId="8" priority="2">
      <formula>COUNTIF(祝日,A10)&gt;0</formula>
    </cfRule>
  </conditionalFormatting>
  <dataValidations disablePrompts="1" count="1">
    <dataValidation type="list" allowBlank="1" showInputMessage="1" showErrorMessage="1" sqref="R5" xr:uid="{4710E86C-5488-4635-AA43-FA183B1BB747}">
      <formula1>"1,2,3,4,5,6,7,8,9,10,11,12"</formula1>
    </dataValidation>
  </dataValidations>
  <pageMargins left="0.7" right="0.7" top="0.75" bottom="0.75" header="0.3" footer="0.3"/>
  <pageSetup orientation="landscape" horizontalDpi="4294967292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4F8A-69BA-4F33-ACD8-37148AD2A4F1}">
  <sheetPr codeName="Sheet2"/>
  <dimension ref="A1:Q369"/>
  <sheetViews>
    <sheetView tabSelected="1" zoomScale="115" zoomScaleNormal="115" workbookViewId="0">
      <pane xSplit="8" ySplit="1" topLeftCell="I273" activePane="bottomRight" state="frozen"/>
      <selection pane="topRight" activeCell="I1" sqref="I1"/>
      <selection pane="bottomLeft" activeCell="A2" sqref="A2"/>
      <selection pane="bottomRight" activeCell="I279" sqref="I279"/>
    </sheetView>
  </sheetViews>
  <sheetFormatPr defaultRowHeight="18"/>
  <cols>
    <col min="1" max="1" width="11.4140625" style="71" customWidth="1"/>
    <col min="2" max="2" width="1.5" style="70" hidden="1" customWidth="1"/>
    <col min="3" max="3" width="3.33203125" style="70" hidden="1" customWidth="1"/>
    <col min="4" max="4" width="3.6640625" style="70" hidden="1" customWidth="1"/>
    <col min="5" max="5" width="17.08203125" style="70" hidden="1" customWidth="1"/>
    <col min="6" max="6" width="5" style="64" bestFit="1" customWidth="1"/>
    <col min="7" max="7" width="10.9140625" style="65" bestFit="1" customWidth="1"/>
    <col min="8" max="8" width="4.75" style="66" customWidth="1"/>
    <col min="9" max="13" width="8.6640625" style="70"/>
    <col min="14" max="14" width="8.6640625" style="72"/>
    <col min="15" max="15" width="8.6640625" style="70"/>
    <col min="16" max="16" width="8.6640625" style="133" customWidth="1"/>
    <col min="17" max="17" width="0.1640625" style="68" customWidth="1"/>
    <col min="18" max="18" width="33.6640625" style="70" customWidth="1"/>
    <col min="19" max="16384" width="8.6640625" style="70"/>
  </cols>
  <sheetData>
    <row r="1" spans="1:17" ht="40.5" customHeight="1">
      <c r="A1" s="84" t="s">
        <v>87</v>
      </c>
      <c r="C1" s="95"/>
      <c r="F1" s="63" t="s">
        <v>21</v>
      </c>
      <c r="G1" s="63" t="s">
        <v>22</v>
      </c>
      <c r="H1" s="63" t="s">
        <v>23</v>
      </c>
      <c r="I1" s="63" t="s">
        <v>89</v>
      </c>
      <c r="J1" s="63" t="s">
        <v>90</v>
      </c>
      <c r="K1" s="63" t="s">
        <v>26</v>
      </c>
      <c r="L1" s="63" t="s">
        <v>27</v>
      </c>
      <c r="M1" s="63" t="s">
        <v>28</v>
      </c>
      <c r="N1" s="63" t="s">
        <v>34</v>
      </c>
      <c r="O1" s="63" t="s">
        <v>35</v>
      </c>
      <c r="P1" s="63" t="s">
        <v>33</v>
      </c>
      <c r="Q1" s="86" t="s">
        <v>52</v>
      </c>
    </row>
    <row r="2" spans="1:17">
      <c r="A2" s="63" t="s">
        <v>32</v>
      </c>
      <c r="F2" s="64">
        <v>1</v>
      </c>
      <c r="G2" s="65">
        <f>DATE(A6,1,1)</f>
        <v>43831</v>
      </c>
      <c r="H2" s="66">
        <f>G2</f>
        <v>43831</v>
      </c>
      <c r="P2" s="132" t="str">
        <f>TEXT(VLOOKUP(WEEKDAY($H2),Data!$C$10:$D$16,2,FALSE),"G/표준;;")</f>
        <v>재활용(밤)</v>
      </c>
      <c r="Q2" s="68" t="s">
        <v>37</v>
      </c>
    </row>
    <row r="3" spans="1:17">
      <c r="A3" s="67">
        <f ca="1">TODAY()</f>
        <v>44108</v>
      </c>
      <c r="F3" s="64">
        <v>2</v>
      </c>
      <c r="G3" s="65">
        <f>G2+1</f>
        <v>43832</v>
      </c>
      <c r="H3" s="66">
        <f t="shared" ref="H3:H66" si="0">G3</f>
        <v>43832</v>
      </c>
      <c r="P3" s="132" t="str">
        <f>TEXT(VLOOKUP(WEEKDAY($H3),Data!$C$10:$D$16,2,FALSE),"G/표준;;")</f>
        <v>일반(밤)</v>
      </c>
      <c r="Q3" s="68" t="s">
        <v>37</v>
      </c>
    </row>
    <row r="4" spans="1:17">
      <c r="A4" s="68" cm="1">
        <f t="array" aca="1" ref="A4" ca="1">SUMPRODUCT(($G$2:$G$366=$A$3)*ROW($G$2:$G$366))</f>
        <v>279</v>
      </c>
      <c r="F4" s="64">
        <v>3</v>
      </c>
      <c r="G4" s="65">
        <f t="shared" ref="G4:G67" si="1">G3+1</f>
        <v>43833</v>
      </c>
      <c r="H4" s="66">
        <f t="shared" si="0"/>
        <v>43833</v>
      </c>
      <c r="P4" s="132" t="str">
        <f>TEXT(VLOOKUP(WEEKDAY($H4),Data!$C$10:$D$16,2,FALSE),"G/표준;;")</f>
        <v>먼지 소독</v>
      </c>
      <c r="Q4" s="68" t="s">
        <v>37</v>
      </c>
    </row>
    <row r="5" spans="1:17">
      <c r="A5" s="63" t="s">
        <v>31</v>
      </c>
      <c r="E5" s="67"/>
      <c r="F5" s="64">
        <v>4</v>
      </c>
      <c r="G5" s="65">
        <f t="shared" si="1"/>
        <v>43834</v>
      </c>
      <c r="H5" s="66">
        <f t="shared" si="0"/>
        <v>43834</v>
      </c>
      <c r="P5" s="132" t="str">
        <f>TEXT(VLOOKUP(WEEKDAY($H5),Data!$C$10:$D$16,2,FALSE),"G/표준;;")</f>
        <v>필터교체</v>
      </c>
      <c r="Q5" s="68" t="s">
        <v>37</v>
      </c>
    </row>
    <row r="6" spans="1:17">
      <c r="A6" s="69">
        <v>2020</v>
      </c>
      <c r="F6" s="64">
        <v>5</v>
      </c>
      <c r="G6" s="65">
        <f t="shared" si="1"/>
        <v>43835</v>
      </c>
      <c r="H6" s="66">
        <f t="shared" si="0"/>
        <v>43835</v>
      </c>
      <c r="P6" s="132" t="str">
        <f>TEXT(VLOOKUP(WEEKDAY($H6),Data!$C$10:$D$16,2,FALSE),"G/표준;;")</f>
        <v>다림질, 손코</v>
      </c>
      <c r="Q6" s="68" t="s">
        <v>37</v>
      </c>
    </row>
    <row r="7" spans="1:17">
      <c r="F7" s="64">
        <v>6</v>
      </c>
      <c r="G7" s="65">
        <f t="shared" si="1"/>
        <v>43836</v>
      </c>
      <c r="H7" s="66">
        <f t="shared" si="0"/>
        <v>43836</v>
      </c>
      <c r="P7" s="132" t="str">
        <f>TEXT(VLOOKUP(WEEKDAY($H7),Data!$C$10:$D$16,2,FALSE),"G/표준;;")</f>
        <v>일반(밤)</v>
      </c>
      <c r="Q7" s="68" t="s">
        <v>37</v>
      </c>
    </row>
    <row r="8" spans="1:17">
      <c r="F8" s="64">
        <v>7</v>
      </c>
      <c r="G8" s="65">
        <f t="shared" si="1"/>
        <v>43837</v>
      </c>
      <c r="H8" s="66">
        <f t="shared" si="0"/>
        <v>43837</v>
      </c>
      <c r="P8" s="132" t="str">
        <f>TEXT(VLOOKUP(WEEKDAY($H8),Data!$C$10:$D$16,2,FALSE),"G/표준;;")</f>
        <v>노트북</v>
      </c>
      <c r="Q8" s="68" t="s">
        <v>37</v>
      </c>
    </row>
    <row r="9" spans="1:17">
      <c r="F9" s="64">
        <v>8</v>
      </c>
      <c r="G9" s="65">
        <f t="shared" si="1"/>
        <v>43838</v>
      </c>
      <c r="H9" s="66">
        <f t="shared" si="0"/>
        <v>43838</v>
      </c>
      <c r="P9" s="132" t="str">
        <f>TEXT(VLOOKUP(WEEKDAY($H9),Data!$C$10:$D$16,2,FALSE),"G/표준;;")</f>
        <v>재활용(밤)</v>
      </c>
      <c r="Q9" s="68" t="s">
        <v>37</v>
      </c>
    </row>
    <row r="10" spans="1:17">
      <c r="C10" s="71"/>
      <c r="E10" s="71"/>
      <c r="F10" s="64">
        <v>9</v>
      </c>
      <c r="G10" s="65">
        <f t="shared" si="1"/>
        <v>43839</v>
      </c>
      <c r="H10" s="66">
        <f t="shared" si="0"/>
        <v>43839</v>
      </c>
      <c r="I10" s="71"/>
      <c r="K10" s="71"/>
      <c r="M10" s="71"/>
      <c r="P10" s="132" t="str">
        <f>TEXT(VLOOKUP(WEEKDAY($H10),Data!$C$10:$D$16,2,FALSE),"G/표준;;")</f>
        <v>일반(밤)</v>
      </c>
      <c r="Q10" s="68" t="s">
        <v>37</v>
      </c>
    </row>
    <row r="11" spans="1:17">
      <c r="F11" s="64">
        <v>10</v>
      </c>
      <c r="G11" s="65">
        <f t="shared" si="1"/>
        <v>43840</v>
      </c>
      <c r="H11" s="66">
        <f t="shared" si="0"/>
        <v>43840</v>
      </c>
      <c r="P11" s="132" t="str">
        <f>TEXT(VLOOKUP(WEEKDAY($H11),Data!$C$10:$D$16,2,FALSE),"G/표준;;")</f>
        <v>먼지 소독</v>
      </c>
      <c r="Q11" s="68" t="s">
        <v>37</v>
      </c>
    </row>
    <row r="12" spans="1:17">
      <c r="C12" s="71"/>
      <c r="E12" s="71"/>
      <c r="F12" s="64">
        <v>11</v>
      </c>
      <c r="G12" s="65">
        <f t="shared" si="1"/>
        <v>43841</v>
      </c>
      <c r="H12" s="66">
        <f t="shared" si="0"/>
        <v>43841</v>
      </c>
      <c r="I12" s="71"/>
      <c r="K12" s="71"/>
      <c r="M12" s="71"/>
      <c r="P12" s="132" t="str">
        <f>TEXT(VLOOKUP(WEEKDAY($H12),Data!$C$10:$D$16,2,FALSE),"G/표준;;")</f>
        <v>필터교체</v>
      </c>
      <c r="Q12" s="68" t="s">
        <v>37</v>
      </c>
    </row>
    <row r="13" spans="1:17">
      <c r="F13" s="64">
        <v>12</v>
      </c>
      <c r="G13" s="65">
        <f t="shared" si="1"/>
        <v>43842</v>
      </c>
      <c r="H13" s="66">
        <f t="shared" si="0"/>
        <v>43842</v>
      </c>
      <c r="P13" s="132" t="str">
        <f>TEXT(VLOOKUP(WEEKDAY($H13),Data!$C$10:$D$16,2,FALSE),"G/표준;;")</f>
        <v>다림질, 손코</v>
      </c>
      <c r="Q13" s="68" t="s">
        <v>37</v>
      </c>
    </row>
    <row r="14" spans="1:17">
      <c r="C14" s="71"/>
      <c r="E14" s="71"/>
      <c r="F14" s="64">
        <v>13</v>
      </c>
      <c r="G14" s="65">
        <f t="shared" si="1"/>
        <v>43843</v>
      </c>
      <c r="H14" s="66">
        <f t="shared" si="0"/>
        <v>43843</v>
      </c>
      <c r="I14" s="71"/>
      <c r="K14" s="71"/>
      <c r="M14" s="71"/>
      <c r="P14" s="132" t="str">
        <f>TEXT(VLOOKUP(WEEKDAY($H14),Data!$C$10:$D$16,2,FALSE),"G/표준;;")</f>
        <v>일반(밤)</v>
      </c>
      <c r="Q14" s="68" t="s">
        <v>37</v>
      </c>
    </row>
    <row r="15" spans="1:17">
      <c r="F15" s="64">
        <v>14</v>
      </c>
      <c r="G15" s="65">
        <f t="shared" si="1"/>
        <v>43844</v>
      </c>
      <c r="H15" s="66">
        <f t="shared" si="0"/>
        <v>43844</v>
      </c>
      <c r="P15" s="132" t="str">
        <f>TEXT(VLOOKUP(WEEKDAY($H15),Data!$C$10:$D$16,2,FALSE),"G/표준;;")</f>
        <v>노트북</v>
      </c>
      <c r="Q15" s="68" t="s">
        <v>37</v>
      </c>
    </row>
    <row r="16" spans="1:17">
      <c r="C16" s="71"/>
      <c r="E16" s="71"/>
      <c r="F16" s="64">
        <v>15</v>
      </c>
      <c r="G16" s="65">
        <f t="shared" si="1"/>
        <v>43845</v>
      </c>
      <c r="H16" s="66">
        <f t="shared" si="0"/>
        <v>43845</v>
      </c>
      <c r="I16" s="71"/>
      <c r="K16" s="71"/>
      <c r="M16" s="71"/>
      <c r="P16" s="132" t="str">
        <f>TEXT(VLOOKUP(WEEKDAY($H16),Data!$C$10:$D$16,2,FALSE),"G/표준;;")</f>
        <v>재활용(밤)</v>
      </c>
      <c r="Q16" s="68" t="s">
        <v>37</v>
      </c>
    </row>
    <row r="17" spans="3:17">
      <c r="F17" s="64">
        <v>16</v>
      </c>
      <c r="G17" s="65">
        <f t="shared" si="1"/>
        <v>43846</v>
      </c>
      <c r="H17" s="66">
        <f t="shared" si="0"/>
        <v>43846</v>
      </c>
      <c r="P17" s="132" t="str">
        <f>TEXT(VLOOKUP(WEEKDAY($H17),Data!$C$10:$D$16,2,FALSE),"G/표준;;")</f>
        <v>일반(밤)</v>
      </c>
      <c r="Q17" s="68" t="s">
        <v>37</v>
      </c>
    </row>
    <row r="18" spans="3:17">
      <c r="C18" s="71"/>
      <c r="E18" s="71"/>
      <c r="F18" s="64">
        <v>17</v>
      </c>
      <c r="G18" s="65">
        <f t="shared" si="1"/>
        <v>43847</v>
      </c>
      <c r="H18" s="66">
        <f t="shared" si="0"/>
        <v>43847</v>
      </c>
      <c r="I18" s="71"/>
      <c r="K18" s="71"/>
      <c r="M18" s="71"/>
      <c r="P18" s="132" t="str">
        <f>TEXT(VLOOKUP(WEEKDAY($H18),Data!$C$10:$D$16,2,FALSE),"G/표준;;")</f>
        <v>먼지 소독</v>
      </c>
      <c r="Q18" s="68" t="s">
        <v>37</v>
      </c>
    </row>
    <row r="19" spans="3:17">
      <c r="F19" s="64">
        <v>18</v>
      </c>
      <c r="G19" s="65">
        <f t="shared" si="1"/>
        <v>43848</v>
      </c>
      <c r="H19" s="66">
        <f t="shared" si="0"/>
        <v>43848</v>
      </c>
      <c r="P19" s="132" t="str">
        <f>TEXT(VLOOKUP(WEEKDAY($H19),Data!$C$10:$D$16,2,FALSE),"G/표준;;")</f>
        <v>필터교체</v>
      </c>
      <c r="Q19" s="68" t="s">
        <v>37</v>
      </c>
    </row>
    <row r="20" spans="3:17">
      <c r="C20" s="71"/>
      <c r="F20" s="64">
        <v>19</v>
      </c>
      <c r="G20" s="65">
        <f t="shared" si="1"/>
        <v>43849</v>
      </c>
      <c r="H20" s="66">
        <f t="shared" si="0"/>
        <v>43849</v>
      </c>
      <c r="P20" s="132" t="str">
        <f>TEXT(VLOOKUP(WEEKDAY($H20),Data!$C$10:$D$16,2,FALSE),"G/표준;;")</f>
        <v>다림질, 손코</v>
      </c>
      <c r="Q20" s="68" t="s">
        <v>37</v>
      </c>
    </row>
    <row r="21" spans="3:17">
      <c r="F21" s="64">
        <v>20</v>
      </c>
      <c r="G21" s="65">
        <f t="shared" si="1"/>
        <v>43850</v>
      </c>
      <c r="H21" s="66">
        <f t="shared" si="0"/>
        <v>43850</v>
      </c>
      <c r="P21" s="132" t="str">
        <f>TEXT(VLOOKUP(WEEKDAY($H21),Data!$C$10:$D$16,2,FALSE),"G/표준;;")</f>
        <v>일반(밤)</v>
      </c>
      <c r="Q21" s="68" t="s">
        <v>37</v>
      </c>
    </row>
    <row r="22" spans="3:17">
      <c r="F22" s="64">
        <v>21</v>
      </c>
      <c r="G22" s="65">
        <f t="shared" si="1"/>
        <v>43851</v>
      </c>
      <c r="H22" s="66">
        <f t="shared" si="0"/>
        <v>43851</v>
      </c>
      <c r="P22" s="132" t="str">
        <f>TEXT(VLOOKUP(WEEKDAY($H22),Data!$C$10:$D$16,2,FALSE),"G/표준;;")</f>
        <v>노트북</v>
      </c>
      <c r="Q22" s="68" t="s">
        <v>37</v>
      </c>
    </row>
    <row r="23" spans="3:17">
      <c r="F23" s="64">
        <v>22</v>
      </c>
      <c r="G23" s="65">
        <f t="shared" si="1"/>
        <v>43852</v>
      </c>
      <c r="H23" s="66">
        <f t="shared" si="0"/>
        <v>43852</v>
      </c>
      <c r="P23" s="132" t="str">
        <f>TEXT(VLOOKUP(WEEKDAY($H23),Data!$C$10:$D$16,2,FALSE),"G/표준;;")</f>
        <v>재활용(밤)</v>
      </c>
      <c r="Q23" s="68" t="s">
        <v>37</v>
      </c>
    </row>
    <row r="24" spans="3:17">
      <c r="F24" s="64">
        <v>23</v>
      </c>
      <c r="G24" s="65">
        <f t="shared" si="1"/>
        <v>43853</v>
      </c>
      <c r="H24" s="66">
        <f t="shared" si="0"/>
        <v>43853</v>
      </c>
      <c r="P24" s="132" t="str">
        <f>TEXT(VLOOKUP(WEEKDAY($H24),Data!$C$10:$D$16,2,FALSE),"G/표준;;")</f>
        <v>일반(밤)</v>
      </c>
      <c r="Q24" s="68" t="s">
        <v>37</v>
      </c>
    </row>
    <row r="25" spans="3:17">
      <c r="F25" s="64">
        <v>24</v>
      </c>
      <c r="G25" s="65">
        <f t="shared" si="1"/>
        <v>43854</v>
      </c>
      <c r="H25" s="66">
        <f t="shared" si="0"/>
        <v>43854</v>
      </c>
      <c r="P25" s="132" t="str">
        <f>TEXT(VLOOKUP(WEEKDAY($H25),Data!$C$10:$D$16,2,FALSE),"G/표준;;")</f>
        <v>먼지 소독</v>
      </c>
      <c r="Q25" s="68" t="s">
        <v>37</v>
      </c>
    </row>
    <row r="26" spans="3:17">
      <c r="F26" s="64">
        <v>25</v>
      </c>
      <c r="G26" s="65">
        <f t="shared" si="1"/>
        <v>43855</v>
      </c>
      <c r="H26" s="66">
        <f t="shared" si="0"/>
        <v>43855</v>
      </c>
      <c r="P26" s="132" t="str">
        <f>TEXT(VLOOKUP(WEEKDAY($H26),Data!$C$10:$D$16,2,FALSE),"G/표준;;")</f>
        <v>필터교체</v>
      </c>
      <c r="Q26" s="68" t="s">
        <v>37</v>
      </c>
    </row>
    <row r="27" spans="3:17">
      <c r="F27" s="64">
        <v>26</v>
      </c>
      <c r="G27" s="65">
        <f t="shared" si="1"/>
        <v>43856</v>
      </c>
      <c r="H27" s="66">
        <f t="shared" si="0"/>
        <v>43856</v>
      </c>
      <c r="P27" s="132" t="str">
        <f>TEXT(VLOOKUP(WEEKDAY($H27),Data!$C$10:$D$16,2,FALSE),"G/표준;;")</f>
        <v>다림질, 손코</v>
      </c>
      <c r="Q27" s="68" t="s">
        <v>37</v>
      </c>
    </row>
    <row r="28" spans="3:17">
      <c r="F28" s="64">
        <v>27</v>
      </c>
      <c r="G28" s="65">
        <f t="shared" si="1"/>
        <v>43857</v>
      </c>
      <c r="H28" s="66">
        <f t="shared" si="0"/>
        <v>43857</v>
      </c>
      <c r="P28" s="132" t="str">
        <f>TEXT(VLOOKUP(WEEKDAY($H28),Data!$C$10:$D$16,2,FALSE),"G/표준;;")</f>
        <v>일반(밤)</v>
      </c>
      <c r="Q28" s="68" t="s">
        <v>37</v>
      </c>
    </row>
    <row r="29" spans="3:17">
      <c r="F29" s="64">
        <v>28</v>
      </c>
      <c r="G29" s="65">
        <f t="shared" si="1"/>
        <v>43858</v>
      </c>
      <c r="H29" s="66">
        <f t="shared" si="0"/>
        <v>43858</v>
      </c>
      <c r="P29" s="132" t="str">
        <f>TEXT(VLOOKUP(WEEKDAY($H29),Data!$C$10:$D$16,2,FALSE),"G/표준;;")</f>
        <v>노트북</v>
      </c>
      <c r="Q29" s="68" t="s">
        <v>37</v>
      </c>
    </row>
    <row r="30" spans="3:17">
      <c r="F30" s="64">
        <v>29</v>
      </c>
      <c r="G30" s="65">
        <f t="shared" si="1"/>
        <v>43859</v>
      </c>
      <c r="H30" s="66">
        <f t="shared" si="0"/>
        <v>43859</v>
      </c>
      <c r="P30" s="132" t="str">
        <f>TEXT(VLOOKUP(WEEKDAY($H30),Data!$C$10:$D$16,2,FALSE),"G/표준;;")</f>
        <v>재활용(밤)</v>
      </c>
      <c r="Q30" s="68" t="s">
        <v>37</v>
      </c>
    </row>
    <row r="31" spans="3:17">
      <c r="F31" s="64">
        <v>30</v>
      </c>
      <c r="G31" s="65">
        <f t="shared" si="1"/>
        <v>43860</v>
      </c>
      <c r="H31" s="66">
        <f t="shared" si="0"/>
        <v>43860</v>
      </c>
      <c r="P31" s="132" t="str">
        <f>TEXT(VLOOKUP(WEEKDAY($H31),Data!$C$10:$D$16,2,FALSE),"G/표준;;")</f>
        <v>일반(밤)</v>
      </c>
      <c r="Q31" s="68" t="s">
        <v>37</v>
      </c>
    </row>
    <row r="32" spans="3:17">
      <c r="F32" s="64">
        <v>31</v>
      </c>
      <c r="G32" s="65">
        <f t="shared" si="1"/>
        <v>43861</v>
      </c>
      <c r="H32" s="66">
        <f t="shared" si="0"/>
        <v>43861</v>
      </c>
      <c r="P32" s="132" t="str">
        <f>TEXT(VLOOKUP(WEEKDAY($H32),Data!$C$10:$D$16,2,FALSE),"G/표준;;")</f>
        <v>먼지 소독</v>
      </c>
      <c r="Q32" s="68" t="s">
        <v>37</v>
      </c>
    </row>
    <row r="33" spans="6:17">
      <c r="F33" s="64">
        <v>32</v>
      </c>
      <c r="G33" s="65">
        <f t="shared" si="1"/>
        <v>43862</v>
      </c>
      <c r="H33" s="66">
        <f t="shared" si="0"/>
        <v>43862</v>
      </c>
      <c r="P33" s="132" t="str">
        <f>TEXT(VLOOKUP(WEEKDAY($H33),Data!$C$10:$D$16,2,FALSE),"G/표준;;")</f>
        <v>필터교체</v>
      </c>
      <c r="Q33" s="68" t="s">
        <v>37</v>
      </c>
    </row>
    <row r="34" spans="6:17">
      <c r="F34" s="64">
        <v>33</v>
      </c>
      <c r="G34" s="65">
        <f t="shared" si="1"/>
        <v>43863</v>
      </c>
      <c r="H34" s="66">
        <f t="shared" si="0"/>
        <v>43863</v>
      </c>
      <c r="P34" s="132" t="str">
        <f>TEXT(VLOOKUP(WEEKDAY($H34),Data!$C$10:$D$16,2,FALSE),"G/표준;;")</f>
        <v>다림질, 손코</v>
      </c>
      <c r="Q34" s="68" t="s">
        <v>37</v>
      </c>
    </row>
    <row r="35" spans="6:17">
      <c r="F35" s="64">
        <v>34</v>
      </c>
      <c r="G35" s="65">
        <f t="shared" si="1"/>
        <v>43864</v>
      </c>
      <c r="H35" s="66">
        <f t="shared" si="0"/>
        <v>43864</v>
      </c>
      <c r="P35" s="132" t="str">
        <f>TEXT(VLOOKUP(WEEKDAY($H35),Data!$C$10:$D$16,2,FALSE),"G/표준;;")</f>
        <v>일반(밤)</v>
      </c>
      <c r="Q35" s="68" t="s">
        <v>37</v>
      </c>
    </row>
    <row r="36" spans="6:17">
      <c r="F36" s="64">
        <v>35</v>
      </c>
      <c r="G36" s="65">
        <f t="shared" si="1"/>
        <v>43865</v>
      </c>
      <c r="H36" s="66">
        <f t="shared" si="0"/>
        <v>43865</v>
      </c>
      <c r="P36" s="132" t="str">
        <f>TEXT(VLOOKUP(WEEKDAY($H36),Data!$C$10:$D$16,2,FALSE),"G/표준;;")</f>
        <v>노트북</v>
      </c>
      <c r="Q36" s="68" t="s">
        <v>37</v>
      </c>
    </row>
    <row r="37" spans="6:17">
      <c r="F37" s="64">
        <v>36</v>
      </c>
      <c r="G37" s="65">
        <f t="shared" si="1"/>
        <v>43866</v>
      </c>
      <c r="H37" s="66">
        <f t="shared" si="0"/>
        <v>43866</v>
      </c>
      <c r="P37" s="132" t="str">
        <f>TEXT(VLOOKUP(WEEKDAY($H37),Data!$C$10:$D$16,2,FALSE),"G/표준;;")</f>
        <v>재활용(밤)</v>
      </c>
      <c r="Q37" s="68" t="s">
        <v>37</v>
      </c>
    </row>
    <row r="38" spans="6:17">
      <c r="F38" s="64">
        <v>37</v>
      </c>
      <c r="G38" s="65">
        <f t="shared" si="1"/>
        <v>43867</v>
      </c>
      <c r="H38" s="66">
        <f t="shared" si="0"/>
        <v>43867</v>
      </c>
      <c r="P38" s="132" t="str">
        <f>TEXT(VLOOKUP(WEEKDAY($H38),Data!$C$10:$D$16,2,FALSE),"G/표준;;")</f>
        <v>일반(밤)</v>
      </c>
      <c r="Q38" s="68" t="s">
        <v>37</v>
      </c>
    </row>
    <row r="39" spans="6:17">
      <c r="F39" s="64">
        <v>38</v>
      </c>
      <c r="G39" s="65">
        <f t="shared" si="1"/>
        <v>43868</v>
      </c>
      <c r="H39" s="66">
        <f t="shared" si="0"/>
        <v>43868</v>
      </c>
      <c r="P39" s="132" t="str">
        <f>TEXT(VLOOKUP(WEEKDAY($H39),Data!$C$10:$D$16,2,FALSE),"G/표준;;")</f>
        <v>먼지 소독</v>
      </c>
      <c r="Q39" s="68" t="s">
        <v>37</v>
      </c>
    </row>
    <row r="40" spans="6:17">
      <c r="F40" s="64">
        <v>39</v>
      </c>
      <c r="G40" s="65">
        <f t="shared" si="1"/>
        <v>43869</v>
      </c>
      <c r="H40" s="66">
        <f t="shared" si="0"/>
        <v>43869</v>
      </c>
      <c r="P40" s="132" t="str">
        <f>TEXT(VLOOKUP(WEEKDAY($H40),Data!$C$10:$D$16,2,FALSE),"G/표준;;")</f>
        <v>필터교체</v>
      </c>
      <c r="Q40" s="68" t="s">
        <v>37</v>
      </c>
    </row>
    <row r="41" spans="6:17">
      <c r="F41" s="64">
        <v>40</v>
      </c>
      <c r="G41" s="65">
        <f t="shared" si="1"/>
        <v>43870</v>
      </c>
      <c r="H41" s="66">
        <f t="shared" si="0"/>
        <v>43870</v>
      </c>
      <c r="P41" s="132" t="str">
        <f>TEXT(VLOOKUP(WEEKDAY($H41),Data!$C$10:$D$16,2,FALSE),"G/표준;;")</f>
        <v>다림질, 손코</v>
      </c>
      <c r="Q41" s="68" t="s">
        <v>37</v>
      </c>
    </row>
    <row r="42" spans="6:17">
      <c r="F42" s="64">
        <v>41</v>
      </c>
      <c r="G42" s="65">
        <f t="shared" si="1"/>
        <v>43871</v>
      </c>
      <c r="H42" s="66">
        <f t="shared" si="0"/>
        <v>43871</v>
      </c>
      <c r="P42" s="132" t="str">
        <f>TEXT(VLOOKUP(WEEKDAY($H42),Data!$C$10:$D$16,2,FALSE),"G/표준;;")</f>
        <v>일반(밤)</v>
      </c>
      <c r="Q42" s="68" t="s">
        <v>37</v>
      </c>
    </row>
    <row r="43" spans="6:17">
      <c r="F43" s="64">
        <v>42</v>
      </c>
      <c r="G43" s="65">
        <f t="shared" si="1"/>
        <v>43872</v>
      </c>
      <c r="H43" s="66">
        <f t="shared" si="0"/>
        <v>43872</v>
      </c>
      <c r="P43" s="132" t="str">
        <f>TEXT(VLOOKUP(WEEKDAY($H43),Data!$C$10:$D$16,2,FALSE),"G/표준;;")</f>
        <v>노트북</v>
      </c>
      <c r="Q43" s="68" t="s">
        <v>37</v>
      </c>
    </row>
    <row r="44" spans="6:17">
      <c r="F44" s="64">
        <v>43</v>
      </c>
      <c r="G44" s="65">
        <f t="shared" si="1"/>
        <v>43873</v>
      </c>
      <c r="H44" s="66">
        <f t="shared" si="0"/>
        <v>43873</v>
      </c>
      <c r="P44" s="132" t="str">
        <f>TEXT(VLOOKUP(WEEKDAY($H44),Data!$C$10:$D$16,2,FALSE),"G/표준;;")</f>
        <v>재활용(밤)</v>
      </c>
      <c r="Q44" s="68" t="s">
        <v>37</v>
      </c>
    </row>
    <row r="45" spans="6:17">
      <c r="F45" s="64">
        <v>44</v>
      </c>
      <c r="G45" s="65">
        <f t="shared" si="1"/>
        <v>43874</v>
      </c>
      <c r="H45" s="66">
        <f t="shared" si="0"/>
        <v>43874</v>
      </c>
      <c r="P45" s="132" t="str">
        <f>TEXT(VLOOKUP(WEEKDAY($H45),Data!$C$10:$D$16,2,FALSE),"G/표준;;")</f>
        <v>일반(밤)</v>
      </c>
      <c r="Q45" s="68" t="s">
        <v>37</v>
      </c>
    </row>
    <row r="46" spans="6:17">
      <c r="F46" s="64">
        <v>45</v>
      </c>
      <c r="G46" s="65">
        <f t="shared" si="1"/>
        <v>43875</v>
      </c>
      <c r="H46" s="66">
        <f t="shared" si="0"/>
        <v>43875</v>
      </c>
      <c r="P46" s="132" t="str">
        <f>TEXT(VLOOKUP(WEEKDAY($H46),Data!$C$10:$D$16,2,FALSE),"G/표준;;")</f>
        <v>먼지 소독</v>
      </c>
      <c r="Q46" s="68" t="s">
        <v>37</v>
      </c>
    </row>
    <row r="47" spans="6:17">
      <c r="F47" s="64">
        <v>46</v>
      </c>
      <c r="G47" s="65">
        <f t="shared" si="1"/>
        <v>43876</v>
      </c>
      <c r="H47" s="66">
        <f t="shared" si="0"/>
        <v>43876</v>
      </c>
      <c r="P47" s="132" t="str">
        <f>TEXT(VLOOKUP(WEEKDAY($H47),Data!$C$10:$D$16,2,FALSE),"G/표준;;")</f>
        <v>필터교체</v>
      </c>
      <c r="Q47" s="68" t="s">
        <v>37</v>
      </c>
    </row>
    <row r="48" spans="6:17">
      <c r="F48" s="64">
        <v>47</v>
      </c>
      <c r="G48" s="65">
        <f t="shared" si="1"/>
        <v>43877</v>
      </c>
      <c r="H48" s="66">
        <f t="shared" si="0"/>
        <v>43877</v>
      </c>
      <c r="P48" s="132" t="str">
        <f>TEXT(VLOOKUP(WEEKDAY($H48),Data!$C$10:$D$16,2,FALSE),"G/표준;;")</f>
        <v>다림질, 손코</v>
      </c>
      <c r="Q48" s="68" t="s">
        <v>37</v>
      </c>
    </row>
    <row r="49" spans="6:17">
      <c r="F49" s="64">
        <v>48</v>
      </c>
      <c r="G49" s="65">
        <f t="shared" si="1"/>
        <v>43878</v>
      </c>
      <c r="H49" s="66">
        <f t="shared" si="0"/>
        <v>43878</v>
      </c>
      <c r="P49" s="132" t="str">
        <f>TEXT(VLOOKUP(WEEKDAY($H49),Data!$C$10:$D$16,2,FALSE),"G/표준;;")</f>
        <v>일반(밤)</v>
      </c>
      <c r="Q49" s="68" t="s">
        <v>37</v>
      </c>
    </row>
    <row r="50" spans="6:17">
      <c r="F50" s="64">
        <v>49</v>
      </c>
      <c r="G50" s="65">
        <f t="shared" si="1"/>
        <v>43879</v>
      </c>
      <c r="H50" s="66">
        <f t="shared" si="0"/>
        <v>43879</v>
      </c>
      <c r="P50" s="132" t="str">
        <f>TEXT(VLOOKUP(WEEKDAY($H50),Data!$C$10:$D$16,2,FALSE),"G/표준;;")</f>
        <v>노트북</v>
      </c>
      <c r="Q50" s="68" t="s">
        <v>37</v>
      </c>
    </row>
    <row r="51" spans="6:17">
      <c r="F51" s="64">
        <v>50</v>
      </c>
      <c r="G51" s="65">
        <f t="shared" si="1"/>
        <v>43880</v>
      </c>
      <c r="H51" s="66">
        <f t="shared" si="0"/>
        <v>43880</v>
      </c>
      <c r="P51" s="132" t="str">
        <f>TEXT(VLOOKUP(WEEKDAY($H51),Data!$C$10:$D$16,2,FALSE),"G/표준;;")</f>
        <v>재활용(밤)</v>
      </c>
      <c r="Q51" s="68" t="s">
        <v>37</v>
      </c>
    </row>
    <row r="52" spans="6:17">
      <c r="F52" s="64">
        <v>51</v>
      </c>
      <c r="G52" s="65">
        <f t="shared" si="1"/>
        <v>43881</v>
      </c>
      <c r="H52" s="66">
        <f t="shared" si="0"/>
        <v>43881</v>
      </c>
      <c r="P52" s="132" t="str">
        <f>TEXT(VLOOKUP(WEEKDAY($H52),Data!$C$10:$D$16,2,FALSE),"G/표준;;")</f>
        <v>일반(밤)</v>
      </c>
      <c r="Q52" s="68" t="s">
        <v>37</v>
      </c>
    </row>
    <row r="53" spans="6:17">
      <c r="F53" s="64">
        <v>52</v>
      </c>
      <c r="G53" s="65">
        <f t="shared" si="1"/>
        <v>43882</v>
      </c>
      <c r="H53" s="66">
        <f t="shared" si="0"/>
        <v>43882</v>
      </c>
      <c r="P53" s="132" t="str">
        <f>TEXT(VLOOKUP(WEEKDAY($H53),Data!$C$10:$D$16,2,FALSE),"G/표준;;")</f>
        <v>먼지 소독</v>
      </c>
      <c r="Q53" s="68" t="s">
        <v>37</v>
      </c>
    </row>
    <row r="54" spans="6:17">
      <c r="F54" s="64">
        <v>53</v>
      </c>
      <c r="G54" s="65">
        <f t="shared" si="1"/>
        <v>43883</v>
      </c>
      <c r="H54" s="66">
        <f t="shared" si="0"/>
        <v>43883</v>
      </c>
      <c r="P54" s="132" t="str">
        <f>TEXT(VLOOKUP(WEEKDAY($H54),Data!$C$10:$D$16,2,FALSE),"G/표준;;")</f>
        <v>필터교체</v>
      </c>
      <c r="Q54" s="68" t="s">
        <v>37</v>
      </c>
    </row>
    <row r="55" spans="6:17">
      <c r="F55" s="64">
        <v>54</v>
      </c>
      <c r="G55" s="65">
        <f t="shared" si="1"/>
        <v>43884</v>
      </c>
      <c r="H55" s="66">
        <f t="shared" si="0"/>
        <v>43884</v>
      </c>
      <c r="P55" s="132" t="str">
        <f>TEXT(VLOOKUP(WEEKDAY($H55),Data!$C$10:$D$16,2,FALSE),"G/표준;;")</f>
        <v>다림질, 손코</v>
      </c>
      <c r="Q55" s="68" t="s">
        <v>37</v>
      </c>
    </row>
    <row r="56" spans="6:17">
      <c r="F56" s="64">
        <v>55</v>
      </c>
      <c r="G56" s="65">
        <f t="shared" si="1"/>
        <v>43885</v>
      </c>
      <c r="H56" s="66">
        <f t="shared" si="0"/>
        <v>43885</v>
      </c>
      <c r="P56" s="132" t="str">
        <f>TEXT(VLOOKUP(WEEKDAY($H56),Data!$C$10:$D$16,2,FALSE),"G/표준;;")</f>
        <v>일반(밤)</v>
      </c>
      <c r="Q56" s="68" t="s">
        <v>37</v>
      </c>
    </row>
    <row r="57" spans="6:17">
      <c r="F57" s="64">
        <v>56</v>
      </c>
      <c r="G57" s="65">
        <f t="shared" si="1"/>
        <v>43886</v>
      </c>
      <c r="H57" s="66">
        <f t="shared" si="0"/>
        <v>43886</v>
      </c>
      <c r="P57" s="132" t="str">
        <f>TEXT(VLOOKUP(WEEKDAY($H57),Data!$C$10:$D$16,2,FALSE),"G/표준;;")</f>
        <v>노트북</v>
      </c>
      <c r="Q57" s="68" t="s">
        <v>37</v>
      </c>
    </row>
    <row r="58" spans="6:17">
      <c r="F58" s="64">
        <v>57</v>
      </c>
      <c r="G58" s="65">
        <f t="shared" si="1"/>
        <v>43887</v>
      </c>
      <c r="H58" s="66">
        <f t="shared" si="0"/>
        <v>43887</v>
      </c>
      <c r="P58" s="132" t="str">
        <f>TEXT(VLOOKUP(WEEKDAY($H58),Data!$C$10:$D$16,2,FALSE),"G/표준;;")</f>
        <v>재활용(밤)</v>
      </c>
      <c r="Q58" s="68" t="s">
        <v>37</v>
      </c>
    </row>
    <row r="59" spans="6:17">
      <c r="F59" s="64">
        <v>58</v>
      </c>
      <c r="G59" s="65">
        <f t="shared" si="1"/>
        <v>43888</v>
      </c>
      <c r="H59" s="66">
        <f t="shared" si="0"/>
        <v>43888</v>
      </c>
      <c r="P59" s="132" t="str">
        <f>TEXT(VLOOKUP(WEEKDAY($H59),Data!$C$10:$D$16,2,FALSE),"G/표준;;")</f>
        <v>일반(밤)</v>
      </c>
      <c r="Q59" s="68" t="s">
        <v>37</v>
      </c>
    </row>
    <row r="60" spans="6:17">
      <c r="F60" s="64">
        <v>59</v>
      </c>
      <c r="G60" s="65">
        <f t="shared" si="1"/>
        <v>43889</v>
      </c>
      <c r="H60" s="66">
        <f t="shared" si="0"/>
        <v>43889</v>
      </c>
      <c r="P60" s="132" t="str">
        <f>TEXT(VLOOKUP(WEEKDAY($H60),Data!$C$10:$D$16,2,FALSE),"G/표준;;")</f>
        <v>먼지 소독</v>
      </c>
      <c r="Q60" s="68" t="s">
        <v>37</v>
      </c>
    </row>
    <row r="61" spans="6:17">
      <c r="F61" s="64">
        <v>60</v>
      </c>
      <c r="G61" s="65">
        <f t="shared" si="1"/>
        <v>43890</v>
      </c>
      <c r="H61" s="66">
        <f t="shared" si="0"/>
        <v>43890</v>
      </c>
      <c r="P61" s="132" t="str">
        <f>TEXT(VLOOKUP(WEEKDAY($H61),Data!$C$10:$D$16,2,FALSE),"G/표준;;")</f>
        <v>필터교체</v>
      </c>
      <c r="Q61" s="68" t="s">
        <v>37</v>
      </c>
    </row>
    <row r="62" spans="6:17">
      <c r="F62" s="64">
        <v>61</v>
      </c>
      <c r="G62" s="65">
        <f t="shared" si="1"/>
        <v>43891</v>
      </c>
      <c r="H62" s="66">
        <f t="shared" si="0"/>
        <v>43891</v>
      </c>
      <c r="P62" s="132" t="str">
        <f>TEXT(VLOOKUP(WEEKDAY($H62),Data!$C$10:$D$16,2,FALSE),"G/표준;;")</f>
        <v>다림질, 손코</v>
      </c>
      <c r="Q62" s="68" t="s">
        <v>37</v>
      </c>
    </row>
    <row r="63" spans="6:17">
      <c r="F63" s="64">
        <v>62</v>
      </c>
      <c r="G63" s="65">
        <f t="shared" si="1"/>
        <v>43892</v>
      </c>
      <c r="H63" s="66">
        <f t="shared" si="0"/>
        <v>43892</v>
      </c>
      <c r="P63" s="132" t="str">
        <f>TEXT(VLOOKUP(WEEKDAY($H63),Data!$C$10:$D$16,2,FALSE),"G/표준;;")</f>
        <v>일반(밤)</v>
      </c>
      <c r="Q63" s="68" t="s">
        <v>37</v>
      </c>
    </row>
    <row r="64" spans="6:17">
      <c r="F64" s="64">
        <v>63</v>
      </c>
      <c r="G64" s="65">
        <f t="shared" si="1"/>
        <v>43893</v>
      </c>
      <c r="H64" s="66">
        <f t="shared" si="0"/>
        <v>43893</v>
      </c>
      <c r="P64" s="132" t="str">
        <f>TEXT(VLOOKUP(WEEKDAY($H64),Data!$C$10:$D$16,2,FALSE),"G/표준;;")</f>
        <v>노트북</v>
      </c>
      <c r="Q64" s="68" t="s">
        <v>37</v>
      </c>
    </row>
    <row r="65" spans="6:17">
      <c r="F65" s="64">
        <v>64</v>
      </c>
      <c r="G65" s="65">
        <f t="shared" si="1"/>
        <v>43894</v>
      </c>
      <c r="H65" s="66">
        <f t="shared" si="0"/>
        <v>43894</v>
      </c>
      <c r="P65" s="132" t="str">
        <f>TEXT(VLOOKUP(WEEKDAY($H65),Data!$C$10:$D$16,2,FALSE),"G/표준;;")</f>
        <v>재활용(밤)</v>
      </c>
      <c r="Q65" s="68" t="s">
        <v>37</v>
      </c>
    </row>
    <row r="66" spans="6:17">
      <c r="F66" s="64">
        <v>65</v>
      </c>
      <c r="G66" s="65">
        <f t="shared" si="1"/>
        <v>43895</v>
      </c>
      <c r="H66" s="66">
        <f t="shared" si="0"/>
        <v>43895</v>
      </c>
      <c r="P66" s="132" t="str">
        <f>TEXT(VLOOKUP(WEEKDAY($H66),Data!$C$10:$D$16,2,FALSE),"G/표준;;")</f>
        <v>일반(밤)</v>
      </c>
      <c r="Q66" s="68" t="s">
        <v>37</v>
      </c>
    </row>
    <row r="67" spans="6:17">
      <c r="F67" s="64">
        <v>66</v>
      </c>
      <c r="G67" s="65">
        <f t="shared" si="1"/>
        <v>43896</v>
      </c>
      <c r="H67" s="66">
        <f t="shared" ref="H67:H130" si="2">G67</f>
        <v>43896</v>
      </c>
      <c r="P67" s="132" t="str">
        <f>TEXT(VLOOKUP(WEEKDAY($H67),Data!$C$10:$D$16,2,FALSE),"G/표준;;")</f>
        <v>먼지 소독</v>
      </c>
      <c r="Q67" s="68" t="s">
        <v>37</v>
      </c>
    </row>
    <row r="68" spans="6:17">
      <c r="F68" s="64">
        <v>67</v>
      </c>
      <c r="G68" s="65">
        <f t="shared" ref="G68:G131" si="3">G67+1</f>
        <v>43897</v>
      </c>
      <c r="H68" s="66">
        <f t="shared" si="2"/>
        <v>43897</v>
      </c>
      <c r="P68" s="132" t="str">
        <f>TEXT(VLOOKUP(WEEKDAY($H68),Data!$C$10:$D$16,2,FALSE),"G/표준;;")</f>
        <v>필터교체</v>
      </c>
      <c r="Q68" s="68" t="s">
        <v>37</v>
      </c>
    </row>
    <row r="69" spans="6:17">
      <c r="F69" s="64">
        <v>68</v>
      </c>
      <c r="G69" s="65">
        <f t="shared" si="3"/>
        <v>43898</v>
      </c>
      <c r="H69" s="66">
        <f t="shared" si="2"/>
        <v>43898</v>
      </c>
      <c r="P69" s="132" t="str">
        <f>TEXT(VLOOKUP(WEEKDAY($H69),Data!$C$10:$D$16,2,FALSE),"G/표준;;")</f>
        <v>다림질, 손코</v>
      </c>
      <c r="Q69" s="68" t="s">
        <v>37</v>
      </c>
    </row>
    <row r="70" spans="6:17">
      <c r="F70" s="64">
        <v>69</v>
      </c>
      <c r="G70" s="65">
        <f t="shared" si="3"/>
        <v>43899</v>
      </c>
      <c r="H70" s="66">
        <f t="shared" si="2"/>
        <v>43899</v>
      </c>
      <c r="P70" s="132" t="str">
        <f>TEXT(VLOOKUP(WEEKDAY($H70),Data!$C$10:$D$16,2,FALSE),"G/표준;;")</f>
        <v>일반(밤)</v>
      </c>
      <c r="Q70" s="68" t="s">
        <v>37</v>
      </c>
    </row>
    <row r="71" spans="6:17">
      <c r="F71" s="64">
        <v>70</v>
      </c>
      <c r="G71" s="65">
        <f t="shared" si="3"/>
        <v>43900</v>
      </c>
      <c r="H71" s="66">
        <f t="shared" si="2"/>
        <v>43900</v>
      </c>
      <c r="P71" s="132" t="str">
        <f>TEXT(VLOOKUP(WEEKDAY($H71),Data!$C$10:$D$16,2,FALSE),"G/표준;;")</f>
        <v>노트북</v>
      </c>
      <c r="Q71" s="68" t="s">
        <v>37</v>
      </c>
    </row>
    <row r="72" spans="6:17">
      <c r="F72" s="64">
        <v>71</v>
      </c>
      <c r="G72" s="65">
        <f t="shared" si="3"/>
        <v>43901</v>
      </c>
      <c r="H72" s="66">
        <f t="shared" si="2"/>
        <v>43901</v>
      </c>
      <c r="P72" s="132" t="str">
        <f>TEXT(VLOOKUP(WEEKDAY($H72),Data!$C$10:$D$16,2,FALSE),"G/표준;;")</f>
        <v>재활용(밤)</v>
      </c>
      <c r="Q72" s="68" t="s">
        <v>37</v>
      </c>
    </row>
    <row r="73" spans="6:17">
      <c r="F73" s="64">
        <v>72</v>
      </c>
      <c r="G73" s="65">
        <f t="shared" si="3"/>
        <v>43902</v>
      </c>
      <c r="H73" s="66">
        <f t="shared" si="2"/>
        <v>43902</v>
      </c>
      <c r="P73" s="132" t="str">
        <f>TEXT(VLOOKUP(WEEKDAY($H73),Data!$C$10:$D$16,2,FALSE),"G/표준;;")</f>
        <v>일반(밤)</v>
      </c>
      <c r="Q73" s="68" t="s">
        <v>37</v>
      </c>
    </row>
    <row r="74" spans="6:17">
      <c r="F74" s="64">
        <v>73</v>
      </c>
      <c r="G74" s="65">
        <f t="shared" si="3"/>
        <v>43903</v>
      </c>
      <c r="H74" s="66">
        <f t="shared" si="2"/>
        <v>43903</v>
      </c>
      <c r="P74" s="132" t="str">
        <f>TEXT(VLOOKUP(WEEKDAY($H74),Data!$C$10:$D$16,2,FALSE),"G/표준;;")</f>
        <v>먼지 소독</v>
      </c>
      <c r="Q74" s="68" t="s">
        <v>37</v>
      </c>
    </row>
    <row r="75" spans="6:17">
      <c r="F75" s="64">
        <v>74</v>
      </c>
      <c r="G75" s="65">
        <f t="shared" si="3"/>
        <v>43904</v>
      </c>
      <c r="H75" s="66">
        <f t="shared" si="2"/>
        <v>43904</v>
      </c>
      <c r="P75" s="132" t="str">
        <f>TEXT(VLOOKUP(WEEKDAY($H75),Data!$C$10:$D$16,2,FALSE),"G/표준;;")</f>
        <v>필터교체</v>
      </c>
      <c r="Q75" s="68" t="s">
        <v>37</v>
      </c>
    </row>
    <row r="76" spans="6:17">
      <c r="F76" s="64">
        <v>75</v>
      </c>
      <c r="G76" s="65">
        <f t="shared" si="3"/>
        <v>43905</v>
      </c>
      <c r="H76" s="66">
        <f t="shared" si="2"/>
        <v>43905</v>
      </c>
      <c r="P76" s="132" t="str">
        <f>TEXT(VLOOKUP(WEEKDAY($H76),Data!$C$10:$D$16,2,FALSE),"G/표준;;")</f>
        <v>다림질, 손코</v>
      </c>
      <c r="Q76" s="68" t="s">
        <v>37</v>
      </c>
    </row>
    <row r="77" spans="6:17">
      <c r="F77" s="64">
        <v>76</v>
      </c>
      <c r="G77" s="65">
        <f t="shared" si="3"/>
        <v>43906</v>
      </c>
      <c r="H77" s="66">
        <f t="shared" si="2"/>
        <v>43906</v>
      </c>
      <c r="P77" s="132" t="str">
        <f>TEXT(VLOOKUP(WEEKDAY($H77),Data!$C$10:$D$16,2,FALSE),"G/표준;;")</f>
        <v>일반(밤)</v>
      </c>
      <c r="Q77" s="68" t="s">
        <v>37</v>
      </c>
    </row>
    <row r="78" spans="6:17">
      <c r="F78" s="64">
        <v>77</v>
      </c>
      <c r="G78" s="65">
        <f t="shared" si="3"/>
        <v>43907</v>
      </c>
      <c r="H78" s="66">
        <f t="shared" si="2"/>
        <v>43907</v>
      </c>
      <c r="P78" s="132" t="str">
        <f>TEXT(VLOOKUP(WEEKDAY($H78),Data!$C$10:$D$16,2,FALSE),"G/표준;;")</f>
        <v>노트북</v>
      </c>
      <c r="Q78" s="68" t="s">
        <v>37</v>
      </c>
    </row>
    <row r="79" spans="6:17">
      <c r="F79" s="64">
        <v>78</v>
      </c>
      <c r="G79" s="65">
        <f t="shared" si="3"/>
        <v>43908</v>
      </c>
      <c r="H79" s="66">
        <f t="shared" si="2"/>
        <v>43908</v>
      </c>
      <c r="P79" s="132" t="str">
        <f>TEXT(VLOOKUP(WEEKDAY($H79),Data!$C$10:$D$16,2,FALSE),"G/표준;;")</f>
        <v>재활용(밤)</v>
      </c>
      <c r="Q79" s="68" t="s">
        <v>37</v>
      </c>
    </row>
    <row r="80" spans="6:17">
      <c r="F80" s="64">
        <v>79</v>
      </c>
      <c r="G80" s="65">
        <f t="shared" si="3"/>
        <v>43909</v>
      </c>
      <c r="H80" s="66">
        <f t="shared" si="2"/>
        <v>43909</v>
      </c>
      <c r="P80" s="132" t="str">
        <f>TEXT(VLOOKUP(WEEKDAY($H80),Data!$C$10:$D$16,2,FALSE),"G/표준;;")</f>
        <v>일반(밤)</v>
      </c>
      <c r="Q80" s="68" t="s">
        <v>37</v>
      </c>
    </row>
    <row r="81" spans="6:17">
      <c r="F81" s="64">
        <v>80</v>
      </c>
      <c r="G81" s="65">
        <f t="shared" si="3"/>
        <v>43910</v>
      </c>
      <c r="H81" s="66">
        <f t="shared" si="2"/>
        <v>43910</v>
      </c>
      <c r="P81" s="132" t="str">
        <f>TEXT(VLOOKUP(WEEKDAY($H81),Data!$C$10:$D$16,2,FALSE),"G/표준;;")</f>
        <v>먼지 소독</v>
      </c>
      <c r="Q81" s="68" t="s">
        <v>37</v>
      </c>
    </row>
    <row r="82" spans="6:17">
      <c r="F82" s="64">
        <v>81</v>
      </c>
      <c r="G82" s="65">
        <f t="shared" si="3"/>
        <v>43911</v>
      </c>
      <c r="H82" s="66">
        <f t="shared" si="2"/>
        <v>43911</v>
      </c>
      <c r="P82" s="132" t="str">
        <f>TEXT(VLOOKUP(WEEKDAY($H82),Data!$C$10:$D$16,2,FALSE),"G/표준;;")</f>
        <v>필터교체</v>
      </c>
      <c r="Q82" s="68" t="s">
        <v>37</v>
      </c>
    </row>
    <row r="83" spans="6:17">
      <c r="F83" s="64">
        <v>82</v>
      </c>
      <c r="G83" s="65">
        <f t="shared" si="3"/>
        <v>43912</v>
      </c>
      <c r="H83" s="66">
        <f t="shared" si="2"/>
        <v>43912</v>
      </c>
      <c r="P83" s="132" t="str">
        <f>TEXT(VLOOKUP(WEEKDAY($H83),Data!$C$10:$D$16,2,FALSE),"G/표준;;")</f>
        <v>다림질, 손코</v>
      </c>
      <c r="Q83" s="68" t="s">
        <v>37</v>
      </c>
    </row>
    <row r="84" spans="6:17">
      <c r="F84" s="64">
        <v>83</v>
      </c>
      <c r="G84" s="65">
        <f t="shared" si="3"/>
        <v>43913</v>
      </c>
      <c r="H84" s="66">
        <f t="shared" si="2"/>
        <v>43913</v>
      </c>
      <c r="P84" s="132" t="str">
        <f>TEXT(VLOOKUP(WEEKDAY($H84),Data!$C$10:$D$16,2,FALSE),"G/표준;;")</f>
        <v>일반(밤)</v>
      </c>
      <c r="Q84" s="68" t="s">
        <v>37</v>
      </c>
    </row>
    <row r="85" spans="6:17">
      <c r="F85" s="64">
        <v>84</v>
      </c>
      <c r="G85" s="65">
        <f t="shared" si="3"/>
        <v>43914</v>
      </c>
      <c r="H85" s="66">
        <f t="shared" si="2"/>
        <v>43914</v>
      </c>
      <c r="P85" s="132" t="str">
        <f>TEXT(VLOOKUP(WEEKDAY($H85),Data!$C$10:$D$16,2,FALSE),"G/표준;;")</f>
        <v>노트북</v>
      </c>
      <c r="Q85" s="68" t="s">
        <v>37</v>
      </c>
    </row>
    <row r="86" spans="6:17">
      <c r="F86" s="64">
        <v>85</v>
      </c>
      <c r="G86" s="65">
        <f t="shared" si="3"/>
        <v>43915</v>
      </c>
      <c r="H86" s="66">
        <f t="shared" si="2"/>
        <v>43915</v>
      </c>
      <c r="P86" s="132" t="str">
        <f>TEXT(VLOOKUP(WEEKDAY($H86),Data!$C$10:$D$16,2,FALSE),"G/표준;;")</f>
        <v>재활용(밤)</v>
      </c>
      <c r="Q86" s="68" t="s">
        <v>37</v>
      </c>
    </row>
    <row r="87" spans="6:17">
      <c r="F87" s="64">
        <v>86</v>
      </c>
      <c r="G87" s="65">
        <f t="shared" si="3"/>
        <v>43916</v>
      </c>
      <c r="H87" s="66">
        <f t="shared" si="2"/>
        <v>43916</v>
      </c>
      <c r="P87" s="132" t="str">
        <f>TEXT(VLOOKUP(WEEKDAY($H87),Data!$C$10:$D$16,2,FALSE),"G/표준;;")</f>
        <v>일반(밤)</v>
      </c>
      <c r="Q87" s="68" t="s">
        <v>37</v>
      </c>
    </row>
    <row r="88" spans="6:17">
      <c r="F88" s="64">
        <v>87</v>
      </c>
      <c r="G88" s="65">
        <f t="shared" si="3"/>
        <v>43917</v>
      </c>
      <c r="H88" s="66">
        <f t="shared" si="2"/>
        <v>43917</v>
      </c>
      <c r="P88" s="132" t="str">
        <f>TEXT(VLOOKUP(WEEKDAY($H88),Data!$C$10:$D$16,2,FALSE),"G/표준;;")</f>
        <v>먼지 소독</v>
      </c>
      <c r="Q88" s="68" t="s">
        <v>37</v>
      </c>
    </row>
    <row r="89" spans="6:17">
      <c r="F89" s="64">
        <v>88</v>
      </c>
      <c r="G89" s="65">
        <f t="shared" si="3"/>
        <v>43918</v>
      </c>
      <c r="H89" s="66">
        <f t="shared" si="2"/>
        <v>43918</v>
      </c>
      <c r="P89" s="132" t="str">
        <f>TEXT(VLOOKUP(WEEKDAY($H89),Data!$C$10:$D$16,2,FALSE),"G/표준;;")</f>
        <v>필터교체</v>
      </c>
      <c r="Q89" s="68" t="s">
        <v>37</v>
      </c>
    </row>
    <row r="90" spans="6:17">
      <c r="F90" s="64">
        <v>89</v>
      </c>
      <c r="G90" s="65">
        <f t="shared" si="3"/>
        <v>43919</v>
      </c>
      <c r="H90" s="66">
        <f t="shared" si="2"/>
        <v>43919</v>
      </c>
      <c r="P90" s="132" t="str">
        <f>TEXT(VLOOKUP(WEEKDAY($H90),Data!$C$10:$D$16,2,FALSE),"G/표준;;")</f>
        <v>다림질, 손코</v>
      </c>
      <c r="Q90" s="68" t="s">
        <v>37</v>
      </c>
    </row>
    <row r="91" spans="6:17">
      <c r="F91" s="64">
        <v>90</v>
      </c>
      <c r="G91" s="65">
        <f t="shared" si="3"/>
        <v>43920</v>
      </c>
      <c r="H91" s="66">
        <f t="shared" si="2"/>
        <v>43920</v>
      </c>
      <c r="P91" s="132" t="str">
        <f>TEXT(VLOOKUP(WEEKDAY($H91),Data!$C$10:$D$16,2,FALSE),"G/표준;;")</f>
        <v>일반(밤)</v>
      </c>
      <c r="Q91" s="68" t="s">
        <v>37</v>
      </c>
    </row>
    <row r="92" spans="6:17">
      <c r="F92" s="64">
        <v>91</v>
      </c>
      <c r="G92" s="65">
        <f t="shared" si="3"/>
        <v>43921</v>
      </c>
      <c r="H92" s="66">
        <f t="shared" si="2"/>
        <v>43921</v>
      </c>
      <c r="P92" s="132" t="str">
        <f>TEXT(VLOOKUP(WEEKDAY($H92),Data!$C$10:$D$16,2,FALSE),"G/표준;;")</f>
        <v>노트북</v>
      </c>
      <c r="Q92" s="68" t="s">
        <v>37</v>
      </c>
    </row>
    <row r="93" spans="6:17">
      <c r="F93" s="64">
        <v>92</v>
      </c>
      <c r="G93" s="65">
        <f t="shared" si="3"/>
        <v>43922</v>
      </c>
      <c r="H93" s="66">
        <f t="shared" si="2"/>
        <v>43922</v>
      </c>
      <c r="P93" s="132" t="str">
        <f>TEXT(VLOOKUP(WEEKDAY($H93),Data!$C$10:$D$16,2,FALSE),"G/표준;;")</f>
        <v>재활용(밤)</v>
      </c>
      <c r="Q93" s="68" t="s">
        <v>37</v>
      </c>
    </row>
    <row r="94" spans="6:17">
      <c r="F94" s="64">
        <v>93</v>
      </c>
      <c r="G94" s="65">
        <f t="shared" si="3"/>
        <v>43923</v>
      </c>
      <c r="H94" s="66">
        <f t="shared" si="2"/>
        <v>43923</v>
      </c>
      <c r="P94" s="132" t="str">
        <f>TEXT(VLOOKUP(WEEKDAY($H94),Data!$C$10:$D$16,2,FALSE),"G/표준;;")</f>
        <v>일반(밤)</v>
      </c>
      <c r="Q94" s="68" t="s">
        <v>37</v>
      </c>
    </row>
    <row r="95" spans="6:17">
      <c r="F95" s="64">
        <v>94</v>
      </c>
      <c r="G95" s="65">
        <f t="shared" si="3"/>
        <v>43924</v>
      </c>
      <c r="H95" s="66">
        <f t="shared" si="2"/>
        <v>43924</v>
      </c>
      <c r="P95" s="132" t="str">
        <f>TEXT(VLOOKUP(WEEKDAY($H95),Data!$C$10:$D$16,2,FALSE),"G/표준;;")</f>
        <v>먼지 소독</v>
      </c>
      <c r="Q95" s="68" t="s">
        <v>37</v>
      </c>
    </row>
    <row r="96" spans="6:17">
      <c r="F96" s="64">
        <v>95</v>
      </c>
      <c r="G96" s="65">
        <f t="shared" si="3"/>
        <v>43925</v>
      </c>
      <c r="H96" s="66">
        <f t="shared" si="2"/>
        <v>43925</v>
      </c>
      <c r="P96" s="132" t="str">
        <f>TEXT(VLOOKUP(WEEKDAY($H96),Data!$C$10:$D$16,2,FALSE),"G/표준;;")</f>
        <v>필터교체</v>
      </c>
      <c r="Q96" s="68" t="s">
        <v>37</v>
      </c>
    </row>
    <row r="97" spans="6:17">
      <c r="F97" s="64">
        <v>96</v>
      </c>
      <c r="G97" s="65">
        <f t="shared" si="3"/>
        <v>43926</v>
      </c>
      <c r="H97" s="66">
        <f t="shared" si="2"/>
        <v>43926</v>
      </c>
      <c r="P97" s="132" t="str">
        <f>TEXT(VLOOKUP(WEEKDAY($H97),Data!$C$10:$D$16,2,FALSE),"G/표준;;")</f>
        <v>다림질, 손코</v>
      </c>
      <c r="Q97" s="68" t="s">
        <v>37</v>
      </c>
    </row>
    <row r="98" spans="6:17">
      <c r="F98" s="64">
        <v>97</v>
      </c>
      <c r="G98" s="65">
        <f t="shared" si="3"/>
        <v>43927</v>
      </c>
      <c r="H98" s="66">
        <f t="shared" si="2"/>
        <v>43927</v>
      </c>
      <c r="P98" s="132" t="str">
        <f>TEXT(VLOOKUP(WEEKDAY($H98),Data!$C$10:$D$16,2,FALSE),"G/표준;;")</f>
        <v>일반(밤)</v>
      </c>
      <c r="Q98" s="68" t="s">
        <v>37</v>
      </c>
    </row>
    <row r="99" spans="6:17">
      <c r="F99" s="64">
        <v>98</v>
      </c>
      <c r="G99" s="65">
        <f t="shared" si="3"/>
        <v>43928</v>
      </c>
      <c r="H99" s="66">
        <f t="shared" si="2"/>
        <v>43928</v>
      </c>
      <c r="P99" s="132" t="str">
        <f>TEXT(VLOOKUP(WEEKDAY($H99),Data!$C$10:$D$16,2,FALSE),"G/표준;;")</f>
        <v>노트북</v>
      </c>
      <c r="Q99" s="68" t="s">
        <v>37</v>
      </c>
    </row>
    <row r="100" spans="6:17">
      <c r="F100" s="64">
        <v>99</v>
      </c>
      <c r="G100" s="65">
        <f t="shared" si="3"/>
        <v>43929</v>
      </c>
      <c r="H100" s="66">
        <f t="shared" si="2"/>
        <v>43929</v>
      </c>
      <c r="P100" s="132" t="str">
        <f>TEXT(VLOOKUP(WEEKDAY($H100),Data!$C$10:$D$16,2,FALSE),"G/표준;;")</f>
        <v>재활용(밤)</v>
      </c>
      <c r="Q100" s="68" t="s">
        <v>37</v>
      </c>
    </row>
    <row r="101" spans="6:17">
      <c r="F101" s="64">
        <v>100</v>
      </c>
      <c r="G101" s="65">
        <f t="shared" si="3"/>
        <v>43930</v>
      </c>
      <c r="H101" s="66">
        <f t="shared" si="2"/>
        <v>43930</v>
      </c>
      <c r="P101" s="132" t="str">
        <f>TEXT(VLOOKUP(WEEKDAY($H101),Data!$C$10:$D$16,2,FALSE),"G/표준;;")</f>
        <v>일반(밤)</v>
      </c>
      <c r="Q101" s="68" t="s">
        <v>37</v>
      </c>
    </row>
    <row r="102" spans="6:17">
      <c r="F102" s="64">
        <v>101</v>
      </c>
      <c r="G102" s="65">
        <f t="shared" si="3"/>
        <v>43931</v>
      </c>
      <c r="H102" s="66">
        <f t="shared" si="2"/>
        <v>43931</v>
      </c>
      <c r="P102" s="132" t="str">
        <f>TEXT(VLOOKUP(WEEKDAY($H102),Data!$C$10:$D$16,2,FALSE),"G/표준;;")</f>
        <v>먼지 소독</v>
      </c>
      <c r="Q102" s="68" t="s">
        <v>37</v>
      </c>
    </row>
    <row r="103" spans="6:17">
      <c r="F103" s="64">
        <v>102</v>
      </c>
      <c r="G103" s="65">
        <f t="shared" si="3"/>
        <v>43932</v>
      </c>
      <c r="H103" s="66">
        <f t="shared" si="2"/>
        <v>43932</v>
      </c>
      <c r="P103" s="132" t="str">
        <f>TEXT(VLOOKUP(WEEKDAY($H103),Data!$C$10:$D$16,2,FALSE),"G/표준;;")</f>
        <v>필터교체</v>
      </c>
      <c r="Q103" s="68" t="s">
        <v>37</v>
      </c>
    </row>
    <row r="104" spans="6:17">
      <c r="F104" s="64">
        <v>103</v>
      </c>
      <c r="G104" s="65">
        <f t="shared" si="3"/>
        <v>43933</v>
      </c>
      <c r="H104" s="66">
        <f t="shared" si="2"/>
        <v>43933</v>
      </c>
      <c r="P104" s="132" t="str">
        <f>TEXT(VLOOKUP(WEEKDAY($H104),Data!$C$10:$D$16,2,FALSE),"G/표준;;")</f>
        <v>다림질, 손코</v>
      </c>
      <c r="Q104" s="68" t="s">
        <v>37</v>
      </c>
    </row>
    <row r="105" spans="6:17">
      <c r="F105" s="64">
        <v>104</v>
      </c>
      <c r="G105" s="65">
        <f t="shared" si="3"/>
        <v>43934</v>
      </c>
      <c r="H105" s="66">
        <f t="shared" si="2"/>
        <v>43934</v>
      </c>
      <c r="P105" s="132" t="str">
        <f>TEXT(VLOOKUP(WEEKDAY($H105),Data!$C$10:$D$16,2,FALSE),"G/표준;;")</f>
        <v>일반(밤)</v>
      </c>
      <c r="Q105" s="68" t="s">
        <v>37</v>
      </c>
    </row>
    <row r="106" spans="6:17">
      <c r="F106" s="64">
        <v>105</v>
      </c>
      <c r="G106" s="65">
        <f t="shared" si="3"/>
        <v>43935</v>
      </c>
      <c r="H106" s="66">
        <f t="shared" si="2"/>
        <v>43935</v>
      </c>
      <c r="P106" s="132" t="str">
        <f>TEXT(VLOOKUP(WEEKDAY($H106),Data!$C$10:$D$16,2,FALSE),"G/표준;;")</f>
        <v>노트북</v>
      </c>
      <c r="Q106" s="68" t="s">
        <v>37</v>
      </c>
    </row>
    <row r="107" spans="6:17">
      <c r="F107" s="64">
        <v>106</v>
      </c>
      <c r="G107" s="65">
        <f t="shared" si="3"/>
        <v>43936</v>
      </c>
      <c r="H107" s="66">
        <f t="shared" si="2"/>
        <v>43936</v>
      </c>
      <c r="P107" s="132" t="str">
        <f>TEXT(VLOOKUP(WEEKDAY($H107),Data!$C$10:$D$16,2,FALSE),"G/표준;;")</f>
        <v>재활용(밤)</v>
      </c>
      <c r="Q107" s="68" t="s">
        <v>37</v>
      </c>
    </row>
    <row r="108" spans="6:17">
      <c r="F108" s="64">
        <v>107</v>
      </c>
      <c r="G108" s="65">
        <f t="shared" si="3"/>
        <v>43937</v>
      </c>
      <c r="H108" s="66">
        <f t="shared" si="2"/>
        <v>43937</v>
      </c>
      <c r="P108" s="132" t="str">
        <f>TEXT(VLOOKUP(WEEKDAY($H108),Data!$C$10:$D$16,2,FALSE),"G/표준;;")</f>
        <v>일반(밤)</v>
      </c>
      <c r="Q108" s="68" t="s">
        <v>37</v>
      </c>
    </row>
    <row r="109" spans="6:17">
      <c r="F109" s="64">
        <v>108</v>
      </c>
      <c r="G109" s="65">
        <f t="shared" si="3"/>
        <v>43938</v>
      </c>
      <c r="H109" s="66">
        <f t="shared" si="2"/>
        <v>43938</v>
      </c>
      <c r="P109" s="132" t="str">
        <f>TEXT(VLOOKUP(WEEKDAY($H109),Data!$C$10:$D$16,2,FALSE),"G/표준;;")</f>
        <v>먼지 소독</v>
      </c>
      <c r="Q109" s="68" t="s">
        <v>37</v>
      </c>
    </row>
    <row r="110" spans="6:17">
      <c r="F110" s="64">
        <v>109</v>
      </c>
      <c r="G110" s="65">
        <f t="shared" si="3"/>
        <v>43939</v>
      </c>
      <c r="H110" s="66">
        <f t="shared" si="2"/>
        <v>43939</v>
      </c>
      <c r="P110" s="132" t="str">
        <f>TEXT(VLOOKUP(WEEKDAY($H110),Data!$C$10:$D$16,2,FALSE),"G/표준;;")</f>
        <v>필터교체</v>
      </c>
      <c r="Q110" s="68" t="s">
        <v>37</v>
      </c>
    </row>
    <row r="111" spans="6:17">
      <c r="F111" s="64">
        <v>110</v>
      </c>
      <c r="G111" s="65">
        <f t="shared" si="3"/>
        <v>43940</v>
      </c>
      <c r="H111" s="66">
        <f t="shared" si="2"/>
        <v>43940</v>
      </c>
      <c r="P111" s="132" t="str">
        <f>TEXT(VLOOKUP(WEEKDAY($H111),Data!$C$10:$D$16,2,FALSE),"G/표준;;")</f>
        <v>다림질, 손코</v>
      </c>
      <c r="Q111" s="68" t="s">
        <v>37</v>
      </c>
    </row>
    <row r="112" spans="6:17">
      <c r="F112" s="64">
        <v>111</v>
      </c>
      <c r="G112" s="65">
        <f t="shared" si="3"/>
        <v>43941</v>
      </c>
      <c r="H112" s="66">
        <f t="shared" si="2"/>
        <v>43941</v>
      </c>
      <c r="P112" s="132" t="str">
        <f>TEXT(VLOOKUP(WEEKDAY($H112),Data!$C$10:$D$16,2,FALSE),"G/표준;;")</f>
        <v>일반(밤)</v>
      </c>
      <c r="Q112" s="68" t="s">
        <v>37</v>
      </c>
    </row>
    <row r="113" spans="6:17">
      <c r="F113" s="64">
        <v>112</v>
      </c>
      <c r="G113" s="65">
        <f t="shared" si="3"/>
        <v>43942</v>
      </c>
      <c r="H113" s="66">
        <f t="shared" si="2"/>
        <v>43942</v>
      </c>
      <c r="P113" s="132" t="str">
        <f>TEXT(VLOOKUP(WEEKDAY($H113),Data!$C$10:$D$16,2,FALSE),"G/표준;;")</f>
        <v>노트북</v>
      </c>
      <c r="Q113" s="68" t="s">
        <v>37</v>
      </c>
    </row>
    <row r="114" spans="6:17">
      <c r="F114" s="64">
        <v>113</v>
      </c>
      <c r="G114" s="65">
        <f t="shared" si="3"/>
        <v>43943</v>
      </c>
      <c r="H114" s="66">
        <f t="shared" si="2"/>
        <v>43943</v>
      </c>
      <c r="P114" s="132" t="str">
        <f>TEXT(VLOOKUP(WEEKDAY($H114),Data!$C$10:$D$16,2,FALSE),"G/표준;;")</f>
        <v>재활용(밤)</v>
      </c>
      <c r="Q114" s="68" t="s">
        <v>37</v>
      </c>
    </row>
    <row r="115" spans="6:17">
      <c r="F115" s="64">
        <v>114</v>
      </c>
      <c r="G115" s="65">
        <f t="shared" si="3"/>
        <v>43944</v>
      </c>
      <c r="H115" s="66">
        <f t="shared" si="2"/>
        <v>43944</v>
      </c>
      <c r="P115" s="132" t="str">
        <f>TEXT(VLOOKUP(WEEKDAY($H115),Data!$C$10:$D$16,2,FALSE),"G/표준;;")</f>
        <v>일반(밤)</v>
      </c>
      <c r="Q115" s="68" t="s">
        <v>37</v>
      </c>
    </row>
    <row r="116" spans="6:17">
      <c r="F116" s="64">
        <v>115</v>
      </c>
      <c r="G116" s="65">
        <f t="shared" si="3"/>
        <v>43945</v>
      </c>
      <c r="H116" s="66">
        <f t="shared" si="2"/>
        <v>43945</v>
      </c>
      <c r="P116" s="132" t="str">
        <f>TEXT(VLOOKUP(WEEKDAY($H116),Data!$C$10:$D$16,2,FALSE),"G/표준;;")</f>
        <v>먼지 소독</v>
      </c>
      <c r="Q116" s="68" t="s">
        <v>37</v>
      </c>
    </row>
    <row r="117" spans="6:17">
      <c r="F117" s="64">
        <v>116</v>
      </c>
      <c r="G117" s="65">
        <f t="shared" si="3"/>
        <v>43946</v>
      </c>
      <c r="H117" s="66">
        <f t="shared" si="2"/>
        <v>43946</v>
      </c>
      <c r="P117" s="132" t="str">
        <f>TEXT(VLOOKUP(WEEKDAY($H117),Data!$C$10:$D$16,2,FALSE),"G/표준;;")</f>
        <v>필터교체</v>
      </c>
      <c r="Q117" s="68" t="s">
        <v>37</v>
      </c>
    </row>
    <row r="118" spans="6:17">
      <c r="F118" s="64">
        <v>117</v>
      </c>
      <c r="G118" s="65">
        <f t="shared" si="3"/>
        <v>43947</v>
      </c>
      <c r="H118" s="66">
        <f t="shared" si="2"/>
        <v>43947</v>
      </c>
      <c r="P118" s="132" t="str">
        <f>TEXT(VLOOKUP(WEEKDAY($H118),Data!$C$10:$D$16,2,FALSE),"G/표준;;")</f>
        <v>다림질, 손코</v>
      </c>
      <c r="Q118" s="68" t="s">
        <v>37</v>
      </c>
    </row>
    <row r="119" spans="6:17">
      <c r="F119" s="64">
        <v>118</v>
      </c>
      <c r="G119" s="65">
        <f t="shared" si="3"/>
        <v>43948</v>
      </c>
      <c r="H119" s="66">
        <f t="shared" si="2"/>
        <v>43948</v>
      </c>
      <c r="P119" s="132" t="str">
        <f>TEXT(VLOOKUP(WEEKDAY($H119),Data!$C$10:$D$16,2,FALSE),"G/표준;;")</f>
        <v>일반(밤)</v>
      </c>
      <c r="Q119" s="68" t="s">
        <v>37</v>
      </c>
    </row>
    <row r="120" spans="6:17">
      <c r="F120" s="64">
        <v>119</v>
      </c>
      <c r="G120" s="65">
        <f t="shared" si="3"/>
        <v>43949</v>
      </c>
      <c r="H120" s="66">
        <f t="shared" si="2"/>
        <v>43949</v>
      </c>
      <c r="P120" s="132" t="str">
        <f>TEXT(VLOOKUP(WEEKDAY($H120),Data!$C$10:$D$16,2,FALSE),"G/표준;;")</f>
        <v>노트북</v>
      </c>
      <c r="Q120" s="68" t="s">
        <v>37</v>
      </c>
    </row>
    <row r="121" spans="6:17">
      <c r="F121" s="64">
        <v>120</v>
      </c>
      <c r="G121" s="65">
        <f t="shared" si="3"/>
        <v>43950</v>
      </c>
      <c r="H121" s="66">
        <f t="shared" si="2"/>
        <v>43950</v>
      </c>
      <c r="P121" s="132" t="str">
        <f>TEXT(VLOOKUP(WEEKDAY($H121),Data!$C$10:$D$16,2,FALSE),"G/표준;;")</f>
        <v>재활용(밤)</v>
      </c>
      <c r="Q121" s="68" t="s">
        <v>37</v>
      </c>
    </row>
    <row r="122" spans="6:17">
      <c r="F122" s="64">
        <v>121</v>
      </c>
      <c r="G122" s="65">
        <f t="shared" si="3"/>
        <v>43951</v>
      </c>
      <c r="H122" s="66">
        <f t="shared" si="2"/>
        <v>43951</v>
      </c>
      <c r="P122" s="132" t="str">
        <f>TEXT(VLOOKUP(WEEKDAY($H122),Data!$C$10:$D$16,2,FALSE),"G/표준;;")</f>
        <v>일반(밤)</v>
      </c>
      <c r="Q122" s="68" t="s">
        <v>37</v>
      </c>
    </row>
    <row r="123" spans="6:17">
      <c r="F123" s="64">
        <v>122</v>
      </c>
      <c r="G123" s="65">
        <f t="shared" si="3"/>
        <v>43952</v>
      </c>
      <c r="H123" s="66">
        <f t="shared" si="2"/>
        <v>43952</v>
      </c>
      <c r="P123" s="132" t="str">
        <f>TEXT(VLOOKUP(WEEKDAY($H123),Data!$C$10:$D$16,2,FALSE),"G/표준;;")</f>
        <v>먼지 소독</v>
      </c>
      <c r="Q123" s="68" t="s">
        <v>37</v>
      </c>
    </row>
    <row r="124" spans="6:17">
      <c r="F124" s="64">
        <v>123</v>
      </c>
      <c r="G124" s="65">
        <f t="shared" si="3"/>
        <v>43953</v>
      </c>
      <c r="H124" s="66">
        <f t="shared" si="2"/>
        <v>43953</v>
      </c>
      <c r="P124" s="132" t="str">
        <f>TEXT(VLOOKUP(WEEKDAY($H124),Data!$C$10:$D$16,2,FALSE),"G/표준;;")</f>
        <v>필터교체</v>
      </c>
      <c r="Q124" s="68" t="s">
        <v>37</v>
      </c>
    </row>
    <row r="125" spans="6:17">
      <c r="F125" s="64">
        <v>124</v>
      </c>
      <c r="G125" s="65">
        <f t="shared" si="3"/>
        <v>43954</v>
      </c>
      <c r="H125" s="66">
        <f t="shared" si="2"/>
        <v>43954</v>
      </c>
      <c r="P125" s="132" t="str">
        <f>TEXT(VLOOKUP(WEEKDAY($H125),Data!$C$10:$D$16,2,FALSE),"G/표준;;")</f>
        <v>다림질, 손코</v>
      </c>
      <c r="Q125" s="68" t="s">
        <v>37</v>
      </c>
    </row>
    <row r="126" spans="6:17">
      <c r="F126" s="64">
        <v>125</v>
      </c>
      <c r="G126" s="65">
        <f t="shared" si="3"/>
        <v>43955</v>
      </c>
      <c r="H126" s="66">
        <f t="shared" si="2"/>
        <v>43955</v>
      </c>
      <c r="P126" s="132" t="str">
        <f>TEXT(VLOOKUP(WEEKDAY($H126),Data!$C$10:$D$16,2,FALSE),"G/표준;;")</f>
        <v>일반(밤)</v>
      </c>
      <c r="Q126" s="68" t="s">
        <v>37</v>
      </c>
    </row>
    <row r="127" spans="6:17">
      <c r="F127" s="64">
        <v>126</v>
      </c>
      <c r="G127" s="65">
        <f t="shared" si="3"/>
        <v>43956</v>
      </c>
      <c r="H127" s="66">
        <f t="shared" si="2"/>
        <v>43956</v>
      </c>
      <c r="P127" s="132" t="str">
        <f>TEXT(VLOOKUP(WEEKDAY($H127),Data!$C$10:$D$16,2,FALSE),"G/표준;;")</f>
        <v>노트북</v>
      </c>
      <c r="Q127" s="68" t="s">
        <v>37</v>
      </c>
    </row>
    <row r="128" spans="6:17">
      <c r="F128" s="64">
        <v>127</v>
      </c>
      <c r="G128" s="65">
        <f t="shared" si="3"/>
        <v>43957</v>
      </c>
      <c r="H128" s="66">
        <f t="shared" si="2"/>
        <v>43957</v>
      </c>
      <c r="P128" s="132" t="str">
        <f>TEXT(VLOOKUP(WEEKDAY($H128),Data!$C$10:$D$16,2,FALSE),"G/표준;;")</f>
        <v>재활용(밤)</v>
      </c>
      <c r="Q128" s="68" t="s">
        <v>37</v>
      </c>
    </row>
    <row r="129" spans="6:17">
      <c r="F129" s="64">
        <v>128</v>
      </c>
      <c r="G129" s="65">
        <f t="shared" si="3"/>
        <v>43958</v>
      </c>
      <c r="H129" s="66">
        <f t="shared" si="2"/>
        <v>43958</v>
      </c>
      <c r="P129" s="132" t="str">
        <f>TEXT(VLOOKUP(WEEKDAY($H129),Data!$C$10:$D$16,2,FALSE),"G/표준;;")</f>
        <v>일반(밤)</v>
      </c>
      <c r="Q129" s="68" t="s">
        <v>37</v>
      </c>
    </row>
    <row r="130" spans="6:17">
      <c r="F130" s="64">
        <v>129</v>
      </c>
      <c r="G130" s="65">
        <f t="shared" si="3"/>
        <v>43959</v>
      </c>
      <c r="H130" s="66">
        <f t="shared" si="2"/>
        <v>43959</v>
      </c>
      <c r="P130" s="132" t="str">
        <f>TEXT(VLOOKUP(WEEKDAY($H130),Data!$C$10:$D$16,2,FALSE),"G/표준;;")</f>
        <v>먼지 소독</v>
      </c>
      <c r="Q130" s="68" t="s">
        <v>37</v>
      </c>
    </row>
    <row r="131" spans="6:17">
      <c r="F131" s="64">
        <v>130</v>
      </c>
      <c r="G131" s="65">
        <f t="shared" si="3"/>
        <v>43960</v>
      </c>
      <c r="H131" s="66">
        <f t="shared" ref="H131:H194" si="4">G131</f>
        <v>43960</v>
      </c>
      <c r="P131" s="132" t="str">
        <f>TEXT(VLOOKUP(WEEKDAY($H131),Data!$C$10:$D$16,2,FALSE),"G/표준;;")</f>
        <v>필터교체</v>
      </c>
      <c r="Q131" s="68" t="s">
        <v>37</v>
      </c>
    </row>
    <row r="132" spans="6:17">
      <c r="F132" s="64">
        <v>131</v>
      </c>
      <c r="G132" s="65">
        <f t="shared" ref="G132:G195" si="5">G131+1</f>
        <v>43961</v>
      </c>
      <c r="H132" s="66">
        <f t="shared" si="4"/>
        <v>43961</v>
      </c>
      <c r="P132" s="132" t="str">
        <f>TEXT(VLOOKUP(WEEKDAY($H132),Data!$C$10:$D$16,2,FALSE),"G/표준;;")</f>
        <v>다림질, 손코</v>
      </c>
      <c r="Q132" s="68" t="s">
        <v>37</v>
      </c>
    </row>
    <row r="133" spans="6:17">
      <c r="F133" s="64">
        <v>132</v>
      </c>
      <c r="G133" s="65">
        <f t="shared" si="5"/>
        <v>43962</v>
      </c>
      <c r="H133" s="66">
        <f t="shared" si="4"/>
        <v>43962</v>
      </c>
      <c r="P133" s="132" t="str">
        <f>TEXT(VLOOKUP(WEEKDAY($H133),Data!$C$10:$D$16,2,FALSE),"G/표준;;")</f>
        <v>일반(밤)</v>
      </c>
      <c r="Q133" s="68" t="s">
        <v>37</v>
      </c>
    </row>
    <row r="134" spans="6:17">
      <c r="F134" s="64">
        <v>133</v>
      </c>
      <c r="G134" s="65">
        <f t="shared" si="5"/>
        <v>43963</v>
      </c>
      <c r="H134" s="66">
        <f t="shared" si="4"/>
        <v>43963</v>
      </c>
      <c r="P134" s="132" t="str">
        <f>TEXT(VLOOKUP(WEEKDAY($H134),Data!$C$10:$D$16,2,FALSE),"G/표준;;")</f>
        <v>노트북</v>
      </c>
      <c r="Q134" s="68" t="s">
        <v>37</v>
      </c>
    </row>
    <row r="135" spans="6:17">
      <c r="F135" s="64">
        <v>134</v>
      </c>
      <c r="G135" s="65">
        <f t="shared" si="5"/>
        <v>43964</v>
      </c>
      <c r="H135" s="66">
        <f t="shared" si="4"/>
        <v>43964</v>
      </c>
      <c r="P135" s="132" t="str">
        <f>TEXT(VLOOKUP(WEEKDAY($H135),Data!$C$10:$D$16,2,FALSE),"G/표준;;")</f>
        <v>재활용(밤)</v>
      </c>
      <c r="Q135" s="68" t="s">
        <v>37</v>
      </c>
    </row>
    <row r="136" spans="6:17">
      <c r="F136" s="64">
        <v>135</v>
      </c>
      <c r="G136" s="65">
        <f t="shared" si="5"/>
        <v>43965</v>
      </c>
      <c r="H136" s="66">
        <f t="shared" si="4"/>
        <v>43965</v>
      </c>
      <c r="P136" s="132" t="str">
        <f>TEXT(VLOOKUP(WEEKDAY($H136),Data!$C$10:$D$16,2,FALSE),"G/표준;;")</f>
        <v>일반(밤)</v>
      </c>
      <c r="Q136" s="68" t="s">
        <v>37</v>
      </c>
    </row>
    <row r="137" spans="6:17">
      <c r="F137" s="64">
        <v>136</v>
      </c>
      <c r="G137" s="65">
        <f t="shared" si="5"/>
        <v>43966</v>
      </c>
      <c r="H137" s="66">
        <f t="shared" si="4"/>
        <v>43966</v>
      </c>
      <c r="P137" s="132" t="str">
        <f>TEXT(VLOOKUP(WEEKDAY($H137),Data!$C$10:$D$16,2,FALSE),"G/표준;;")</f>
        <v>먼지 소독</v>
      </c>
      <c r="Q137" s="68" t="s">
        <v>37</v>
      </c>
    </row>
    <row r="138" spans="6:17">
      <c r="F138" s="64">
        <v>137</v>
      </c>
      <c r="G138" s="65">
        <f t="shared" si="5"/>
        <v>43967</v>
      </c>
      <c r="H138" s="66">
        <f t="shared" si="4"/>
        <v>43967</v>
      </c>
      <c r="P138" s="132" t="str">
        <f>TEXT(VLOOKUP(WEEKDAY($H138),Data!$C$10:$D$16,2,FALSE),"G/표준;;")</f>
        <v>필터교체</v>
      </c>
      <c r="Q138" s="68" t="s">
        <v>37</v>
      </c>
    </row>
    <row r="139" spans="6:17">
      <c r="F139" s="64">
        <v>138</v>
      </c>
      <c r="G139" s="65">
        <f t="shared" si="5"/>
        <v>43968</v>
      </c>
      <c r="H139" s="66">
        <f t="shared" si="4"/>
        <v>43968</v>
      </c>
      <c r="P139" s="132" t="str">
        <f>TEXT(VLOOKUP(WEEKDAY($H139),Data!$C$10:$D$16,2,FALSE),"G/표준;;")</f>
        <v>다림질, 손코</v>
      </c>
      <c r="Q139" s="68" t="s">
        <v>37</v>
      </c>
    </row>
    <row r="140" spans="6:17">
      <c r="F140" s="64">
        <v>139</v>
      </c>
      <c r="G140" s="65">
        <f t="shared" si="5"/>
        <v>43969</v>
      </c>
      <c r="H140" s="66">
        <f t="shared" si="4"/>
        <v>43969</v>
      </c>
      <c r="P140" s="132" t="str">
        <f>TEXT(VLOOKUP(WEEKDAY($H140),Data!$C$10:$D$16,2,FALSE),"G/표준;;")</f>
        <v>일반(밤)</v>
      </c>
      <c r="Q140" s="68" t="s">
        <v>37</v>
      </c>
    </row>
    <row r="141" spans="6:17">
      <c r="F141" s="64">
        <v>140</v>
      </c>
      <c r="G141" s="65">
        <f t="shared" si="5"/>
        <v>43970</v>
      </c>
      <c r="H141" s="66">
        <f t="shared" si="4"/>
        <v>43970</v>
      </c>
      <c r="P141" s="132" t="str">
        <f>TEXT(VLOOKUP(WEEKDAY($H141),Data!$C$10:$D$16,2,FALSE),"G/표준;;")</f>
        <v>노트북</v>
      </c>
      <c r="Q141" s="68" t="s">
        <v>37</v>
      </c>
    </row>
    <row r="142" spans="6:17">
      <c r="F142" s="64">
        <v>141</v>
      </c>
      <c r="G142" s="65">
        <f t="shared" si="5"/>
        <v>43971</v>
      </c>
      <c r="H142" s="66">
        <f t="shared" si="4"/>
        <v>43971</v>
      </c>
      <c r="P142" s="132" t="str">
        <f>TEXT(VLOOKUP(WEEKDAY($H142),Data!$C$10:$D$16,2,FALSE),"G/표준;;")</f>
        <v>재활용(밤)</v>
      </c>
      <c r="Q142" s="68" t="s">
        <v>37</v>
      </c>
    </row>
    <row r="143" spans="6:17">
      <c r="F143" s="64">
        <v>142</v>
      </c>
      <c r="G143" s="65">
        <f t="shared" si="5"/>
        <v>43972</v>
      </c>
      <c r="H143" s="66">
        <f t="shared" si="4"/>
        <v>43972</v>
      </c>
      <c r="P143" s="132" t="str">
        <f>TEXT(VLOOKUP(WEEKDAY($H143),Data!$C$10:$D$16,2,FALSE),"G/표준;;")</f>
        <v>일반(밤)</v>
      </c>
      <c r="Q143" s="68" t="s">
        <v>37</v>
      </c>
    </row>
    <row r="144" spans="6:17">
      <c r="F144" s="64">
        <v>143</v>
      </c>
      <c r="G144" s="65">
        <f t="shared" si="5"/>
        <v>43973</v>
      </c>
      <c r="H144" s="66">
        <f t="shared" si="4"/>
        <v>43973</v>
      </c>
      <c r="P144" s="132" t="str">
        <f>TEXT(VLOOKUP(WEEKDAY($H144),Data!$C$10:$D$16,2,FALSE),"G/표준;;")</f>
        <v>먼지 소독</v>
      </c>
      <c r="Q144" s="68" t="s">
        <v>37</v>
      </c>
    </row>
    <row r="145" spans="6:17">
      <c r="F145" s="64">
        <v>144</v>
      </c>
      <c r="G145" s="65">
        <f t="shared" si="5"/>
        <v>43974</v>
      </c>
      <c r="H145" s="66">
        <f t="shared" si="4"/>
        <v>43974</v>
      </c>
      <c r="P145" s="132" t="str">
        <f>TEXT(VLOOKUP(WEEKDAY($H145),Data!$C$10:$D$16,2,FALSE),"G/표준;;")</f>
        <v>필터교체</v>
      </c>
      <c r="Q145" s="68" t="s">
        <v>37</v>
      </c>
    </row>
    <row r="146" spans="6:17">
      <c r="F146" s="64">
        <v>145</v>
      </c>
      <c r="G146" s="65">
        <f t="shared" si="5"/>
        <v>43975</v>
      </c>
      <c r="H146" s="66">
        <f t="shared" si="4"/>
        <v>43975</v>
      </c>
      <c r="P146" s="132" t="str">
        <f>TEXT(VLOOKUP(WEEKDAY($H146),Data!$C$10:$D$16,2,FALSE),"G/표준;;")</f>
        <v>다림질, 손코</v>
      </c>
      <c r="Q146" s="68" t="s">
        <v>37</v>
      </c>
    </row>
    <row r="147" spans="6:17">
      <c r="F147" s="64">
        <v>146</v>
      </c>
      <c r="G147" s="65">
        <f t="shared" si="5"/>
        <v>43976</v>
      </c>
      <c r="H147" s="66">
        <f t="shared" si="4"/>
        <v>43976</v>
      </c>
      <c r="P147" s="132" t="str">
        <f>TEXT(VLOOKUP(WEEKDAY($H147),Data!$C$10:$D$16,2,FALSE),"G/표준;;")</f>
        <v>일반(밤)</v>
      </c>
      <c r="Q147" s="68" t="s">
        <v>37</v>
      </c>
    </row>
    <row r="148" spans="6:17">
      <c r="F148" s="64">
        <v>147</v>
      </c>
      <c r="G148" s="65">
        <f t="shared" si="5"/>
        <v>43977</v>
      </c>
      <c r="H148" s="66">
        <f t="shared" si="4"/>
        <v>43977</v>
      </c>
      <c r="P148" s="132" t="str">
        <f>TEXT(VLOOKUP(WEEKDAY($H148),Data!$C$10:$D$16,2,FALSE),"G/표준;;")</f>
        <v>노트북</v>
      </c>
      <c r="Q148" s="68" t="s">
        <v>37</v>
      </c>
    </row>
    <row r="149" spans="6:17">
      <c r="F149" s="64">
        <v>148</v>
      </c>
      <c r="G149" s="65">
        <f t="shared" si="5"/>
        <v>43978</v>
      </c>
      <c r="H149" s="66">
        <f t="shared" si="4"/>
        <v>43978</v>
      </c>
      <c r="P149" s="132" t="str">
        <f>TEXT(VLOOKUP(WEEKDAY($H149),Data!$C$10:$D$16,2,FALSE),"G/표준;;")</f>
        <v>재활용(밤)</v>
      </c>
      <c r="Q149" s="68" t="s">
        <v>37</v>
      </c>
    </row>
    <row r="150" spans="6:17">
      <c r="F150" s="64">
        <v>149</v>
      </c>
      <c r="G150" s="65">
        <f t="shared" si="5"/>
        <v>43979</v>
      </c>
      <c r="H150" s="66">
        <f t="shared" si="4"/>
        <v>43979</v>
      </c>
      <c r="P150" s="132" t="str">
        <f>TEXT(VLOOKUP(WEEKDAY($H150),Data!$C$10:$D$16,2,FALSE),"G/표준;;")</f>
        <v>일반(밤)</v>
      </c>
      <c r="Q150" s="68" t="s">
        <v>37</v>
      </c>
    </row>
    <row r="151" spans="6:17">
      <c r="F151" s="64">
        <v>150</v>
      </c>
      <c r="G151" s="65">
        <f t="shared" si="5"/>
        <v>43980</v>
      </c>
      <c r="H151" s="66">
        <f t="shared" si="4"/>
        <v>43980</v>
      </c>
      <c r="P151" s="132" t="str">
        <f>TEXT(VLOOKUP(WEEKDAY($H151),Data!$C$10:$D$16,2,FALSE),"G/표준;;")</f>
        <v>먼지 소독</v>
      </c>
      <c r="Q151" s="68" t="s">
        <v>37</v>
      </c>
    </row>
    <row r="152" spans="6:17">
      <c r="F152" s="64">
        <v>151</v>
      </c>
      <c r="G152" s="65">
        <f t="shared" si="5"/>
        <v>43981</v>
      </c>
      <c r="H152" s="66">
        <f t="shared" si="4"/>
        <v>43981</v>
      </c>
      <c r="P152" s="132" t="str">
        <f>TEXT(VLOOKUP(WEEKDAY($H152),Data!$C$10:$D$16,2,FALSE),"G/표준;;")</f>
        <v>필터교체</v>
      </c>
      <c r="Q152" s="68" t="s">
        <v>37</v>
      </c>
    </row>
    <row r="153" spans="6:17">
      <c r="F153" s="64">
        <v>152</v>
      </c>
      <c r="G153" s="65">
        <f t="shared" si="5"/>
        <v>43982</v>
      </c>
      <c r="H153" s="66">
        <f t="shared" si="4"/>
        <v>43982</v>
      </c>
      <c r="P153" s="132" t="str">
        <f>TEXT(VLOOKUP(WEEKDAY($H153),Data!$C$10:$D$16,2,FALSE),"G/표준;;")</f>
        <v>다림질, 손코</v>
      </c>
      <c r="Q153" s="68" t="s">
        <v>37</v>
      </c>
    </row>
    <row r="154" spans="6:17">
      <c r="F154" s="64">
        <v>153</v>
      </c>
      <c r="G154" s="65">
        <f t="shared" si="5"/>
        <v>43983</v>
      </c>
      <c r="H154" s="66">
        <f t="shared" si="4"/>
        <v>43983</v>
      </c>
      <c r="P154" s="132" t="str">
        <f>TEXT(VLOOKUP(WEEKDAY($H154),Data!$C$10:$D$16,2,FALSE),"G/표준;;")</f>
        <v>일반(밤)</v>
      </c>
      <c r="Q154" s="68" t="s">
        <v>37</v>
      </c>
    </row>
    <row r="155" spans="6:17">
      <c r="F155" s="64">
        <v>154</v>
      </c>
      <c r="G155" s="65">
        <f t="shared" si="5"/>
        <v>43984</v>
      </c>
      <c r="H155" s="66">
        <f t="shared" si="4"/>
        <v>43984</v>
      </c>
      <c r="P155" s="132" t="str">
        <f>TEXT(VLOOKUP(WEEKDAY($H155),Data!$C$10:$D$16,2,FALSE),"G/표준;;")</f>
        <v>노트북</v>
      </c>
      <c r="Q155" s="68" t="s">
        <v>37</v>
      </c>
    </row>
    <row r="156" spans="6:17">
      <c r="F156" s="64">
        <v>155</v>
      </c>
      <c r="G156" s="65">
        <f t="shared" si="5"/>
        <v>43985</v>
      </c>
      <c r="H156" s="66">
        <f t="shared" si="4"/>
        <v>43985</v>
      </c>
      <c r="P156" s="132" t="str">
        <f>TEXT(VLOOKUP(WEEKDAY($H156),Data!$C$10:$D$16,2,FALSE),"G/표준;;")</f>
        <v>재활용(밤)</v>
      </c>
      <c r="Q156" s="68" t="s">
        <v>37</v>
      </c>
    </row>
    <row r="157" spans="6:17">
      <c r="F157" s="64">
        <v>156</v>
      </c>
      <c r="G157" s="65">
        <f t="shared" si="5"/>
        <v>43986</v>
      </c>
      <c r="H157" s="66">
        <f t="shared" si="4"/>
        <v>43986</v>
      </c>
      <c r="P157" s="132" t="str">
        <f>TEXT(VLOOKUP(WEEKDAY($H157),Data!$C$10:$D$16,2,FALSE),"G/표준;;")</f>
        <v>일반(밤)</v>
      </c>
      <c r="Q157" s="68" t="s">
        <v>37</v>
      </c>
    </row>
    <row r="158" spans="6:17">
      <c r="F158" s="64">
        <v>157</v>
      </c>
      <c r="G158" s="65">
        <f t="shared" si="5"/>
        <v>43987</v>
      </c>
      <c r="H158" s="66">
        <f t="shared" si="4"/>
        <v>43987</v>
      </c>
      <c r="P158" s="132" t="str">
        <f>TEXT(VLOOKUP(WEEKDAY($H158),Data!$C$10:$D$16,2,FALSE),"G/표준;;")</f>
        <v>먼지 소독</v>
      </c>
      <c r="Q158" s="68" t="s">
        <v>37</v>
      </c>
    </row>
    <row r="159" spans="6:17">
      <c r="F159" s="64">
        <v>158</v>
      </c>
      <c r="G159" s="65">
        <f t="shared" si="5"/>
        <v>43988</v>
      </c>
      <c r="H159" s="66">
        <f t="shared" si="4"/>
        <v>43988</v>
      </c>
      <c r="P159" s="132" t="str">
        <f>TEXT(VLOOKUP(WEEKDAY($H159),Data!$C$10:$D$16,2,FALSE),"G/표준;;")</f>
        <v>필터교체</v>
      </c>
      <c r="Q159" s="68" t="s">
        <v>37</v>
      </c>
    </row>
    <row r="160" spans="6:17">
      <c r="F160" s="64">
        <v>159</v>
      </c>
      <c r="G160" s="65">
        <f t="shared" si="5"/>
        <v>43989</v>
      </c>
      <c r="H160" s="66">
        <f t="shared" si="4"/>
        <v>43989</v>
      </c>
      <c r="P160" s="132" t="str">
        <f>TEXT(VLOOKUP(WEEKDAY($H160),Data!$C$10:$D$16,2,FALSE),"G/표준;;")</f>
        <v>다림질, 손코</v>
      </c>
      <c r="Q160" s="68" t="s">
        <v>37</v>
      </c>
    </row>
    <row r="161" spans="6:17">
      <c r="F161" s="64">
        <v>160</v>
      </c>
      <c r="G161" s="65">
        <f t="shared" si="5"/>
        <v>43990</v>
      </c>
      <c r="H161" s="66">
        <f t="shared" si="4"/>
        <v>43990</v>
      </c>
      <c r="P161" s="132" t="str">
        <f>TEXT(VLOOKUP(WEEKDAY($H161),Data!$C$10:$D$16,2,FALSE),"G/표준;;")</f>
        <v>일반(밤)</v>
      </c>
      <c r="Q161" s="68" t="s">
        <v>37</v>
      </c>
    </row>
    <row r="162" spans="6:17">
      <c r="F162" s="64">
        <v>161</v>
      </c>
      <c r="G162" s="65">
        <f t="shared" si="5"/>
        <v>43991</v>
      </c>
      <c r="H162" s="66">
        <f t="shared" si="4"/>
        <v>43991</v>
      </c>
      <c r="P162" s="132" t="str">
        <f>TEXT(VLOOKUP(WEEKDAY($H162),Data!$C$10:$D$16,2,FALSE),"G/표준;;")</f>
        <v>노트북</v>
      </c>
      <c r="Q162" s="68" t="s">
        <v>37</v>
      </c>
    </row>
    <row r="163" spans="6:17">
      <c r="F163" s="64">
        <v>162</v>
      </c>
      <c r="G163" s="65">
        <f t="shared" si="5"/>
        <v>43992</v>
      </c>
      <c r="H163" s="66">
        <f t="shared" si="4"/>
        <v>43992</v>
      </c>
      <c r="P163" s="132" t="str">
        <f>TEXT(VLOOKUP(WEEKDAY($H163),Data!$C$10:$D$16,2,FALSE),"G/표준;;")</f>
        <v>재활용(밤)</v>
      </c>
      <c r="Q163" s="68" t="s">
        <v>37</v>
      </c>
    </row>
    <row r="164" spans="6:17">
      <c r="F164" s="64">
        <v>163</v>
      </c>
      <c r="G164" s="65">
        <f t="shared" si="5"/>
        <v>43993</v>
      </c>
      <c r="H164" s="66">
        <f t="shared" si="4"/>
        <v>43993</v>
      </c>
      <c r="P164" s="132" t="str">
        <f>TEXT(VLOOKUP(WEEKDAY($H164),Data!$C$10:$D$16,2,FALSE),"G/표준;;")</f>
        <v>일반(밤)</v>
      </c>
      <c r="Q164" s="68" t="s">
        <v>37</v>
      </c>
    </row>
    <row r="165" spans="6:17">
      <c r="F165" s="64">
        <v>164</v>
      </c>
      <c r="G165" s="65">
        <f t="shared" si="5"/>
        <v>43994</v>
      </c>
      <c r="H165" s="66">
        <f t="shared" si="4"/>
        <v>43994</v>
      </c>
      <c r="P165" s="132" t="str">
        <f>TEXT(VLOOKUP(WEEKDAY($H165),Data!$C$10:$D$16,2,FALSE),"G/표준;;")</f>
        <v>먼지 소독</v>
      </c>
      <c r="Q165" s="68" t="s">
        <v>37</v>
      </c>
    </row>
    <row r="166" spans="6:17">
      <c r="F166" s="64">
        <v>165</v>
      </c>
      <c r="G166" s="65">
        <f t="shared" si="5"/>
        <v>43995</v>
      </c>
      <c r="H166" s="66">
        <f t="shared" si="4"/>
        <v>43995</v>
      </c>
      <c r="P166" s="132" t="str">
        <f>TEXT(VLOOKUP(WEEKDAY($H166),Data!$C$10:$D$16,2,FALSE),"G/표준;;")</f>
        <v>필터교체</v>
      </c>
      <c r="Q166" s="68" t="s">
        <v>37</v>
      </c>
    </row>
    <row r="167" spans="6:17">
      <c r="F167" s="64">
        <v>166</v>
      </c>
      <c r="G167" s="65">
        <f t="shared" si="5"/>
        <v>43996</v>
      </c>
      <c r="H167" s="66">
        <f t="shared" si="4"/>
        <v>43996</v>
      </c>
      <c r="P167" s="132" t="str">
        <f>TEXT(VLOOKUP(WEEKDAY($H167),Data!$C$10:$D$16,2,FALSE),"G/표준;;")</f>
        <v>다림질, 손코</v>
      </c>
      <c r="Q167" s="68" t="s">
        <v>37</v>
      </c>
    </row>
    <row r="168" spans="6:17">
      <c r="F168" s="64">
        <v>167</v>
      </c>
      <c r="G168" s="65">
        <f t="shared" si="5"/>
        <v>43997</v>
      </c>
      <c r="H168" s="66">
        <f t="shared" si="4"/>
        <v>43997</v>
      </c>
      <c r="P168" s="132" t="str">
        <f>TEXT(VLOOKUP(WEEKDAY($H168),Data!$C$10:$D$16,2,FALSE),"G/표준;;")</f>
        <v>일반(밤)</v>
      </c>
      <c r="Q168" s="68" t="s">
        <v>37</v>
      </c>
    </row>
    <row r="169" spans="6:17">
      <c r="F169" s="64">
        <v>168</v>
      </c>
      <c r="G169" s="65">
        <f t="shared" si="5"/>
        <v>43998</v>
      </c>
      <c r="H169" s="66">
        <f t="shared" si="4"/>
        <v>43998</v>
      </c>
      <c r="P169" s="132" t="str">
        <f>TEXT(VLOOKUP(WEEKDAY($H169),Data!$C$10:$D$16,2,FALSE),"G/표준;;")</f>
        <v>노트북</v>
      </c>
      <c r="Q169" s="68" t="s">
        <v>37</v>
      </c>
    </row>
    <row r="170" spans="6:17">
      <c r="F170" s="64">
        <v>169</v>
      </c>
      <c r="G170" s="65">
        <f t="shared" si="5"/>
        <v>43999</v>
      </c>
      <c r="H170" s="66">
        <f t="shared" si="4"/>
        <v>43999</v>
      </c>
      <c r="P170" s="132" t="str">
        <f>TEXT(VLOOKUP(WEEKDAY($H170),Data!$C$10:$D$16,2,FALSE),"G/표준;;")</f>
        <v>재활용(밤)</v>
      </c>
      <c r="Q170" s="68" t="s">
        <v>37</v>
      </c>
    </row>
    <row r="171" spans="6:17">
      <c r="F171" s="64">
        <v>170</v>
      </c>
      <c r="G171" s="65">
        <f t="shared" si="5"/>
        <v>44000</v>
      </c>
      <c r="H171" s="66">
        <f t="shared" si="4"/>
        <v>44000</v>
      </c>
      <c r="P171" s="132" t="str">
        <f>TEXT(VLOOKUP(WEEKDAY($H171),Data!$C$10:$D$16,2,FALSE),"G/표준;;")</f>
        <v>일반(밤)</v>
      </c>
      <c r="Q171" s="68" t="s">
        <v>37</v>
      </c>
    </row>
    <row r="172" spans="6:17">
      <c r="F172" s="64">
        <v>171</v>
      </c>
      <c r="G172" s="65">
        <f t="shared" si="5"/>
        <v>44001</v>
      </c>
      <c r="H172" s="66">
        <f t="shared" si="4"/>
        <v>44001</v>
      </c>
      <c r="P172" s="132" t="str">
        <f>TEXT(VLOOKUP(WEEKDAY($H172),Data!$C$10:$D$16,2,FALSE),"G/표준;;")</f>
        <v>먼지 소독</v>
      </c>
      <c r="Q172" s="68" t="s">
        <v>37</v>
      </c>
    </row>
    <row r="173" spans="6:17">
      <c r="F173" s="64">
        <v>172</v>
      </c>
      <c r="G173" s="65">
        <f t="shared" si="5"/>
        <v>44002</v>
      </c>
      <c r="H173" s="66">
        <f t="shared" si="4"/>
        <v>44002</v>
      </c>
      <c r="P173" s="132" t="str">
        <f>TEXT(VLOOKUP(WEEKDAY($H173),Data!$C$10:$D$16,2,FALSE),"G/표준;;")</f>
        <v>필터교체</v>
      </c>
      <c r="Q173" s="68" t="s">
        <v>37</v>
      </c>
    </row>
    <row r="174" spans="6:17">
      <c r="F174" s="64">
        <v>173</v>
      </c>
      <c r="G174" s="65">
        <f t="shared" si="5"/>
        <v>44003</v>
      </c>
      <c r="H174" s="66">
        <f t="shared" si="4"/>
        <v>44003</v>
      </c>
      <c r="P174" s="132" t="str">
        <f>TEXT(VLOOKUP(WEEKDAY($H174),Data!$C$10:$D$16,2,FALSE),"G/표준;;")</f>
        <v>다림질, 손코</v>
      </c>
      <c r="Q174" s="68" t="s">
        <v>37</v>
      </c>
    </row>
    <row r="175" spans="6:17">
      <c r="F175" s="64">
        <v>174</v>
      </c>
      <c r="G175" s="65">
        <f t="shared" si="5"/>
        <v>44004</v>
      </c>
      <c r="H175" s="66">
        <f t="shared" si="4"/>
        <v>44004</v>
      </c>
      <c r="P175" s="132" t="str">
        <f>TEXT(VLOOKUP(WEEKDAY($H175),Data!$C$10:$D$16,2,FALSE),"G/표준;;")</f>
        <v>일반(밤)</v>
      </c>
      <c r="Q175" s="68" t="s">
        <v>37</v>
      </c>
    </row>
    <row r="176" spans="6:17">
      <c r="F176" s="64">
        <v>175</v>
      </c>
      <c r="G176" s="65">
        <f t="shared" si="5"/>
        <v>44005</v>
      </c>
      <c r="H176" s="66">
        <f t="shared" si="4"/>
        <v>44005</v>
      </c>
      <c r="P176" s="132" t="str">
        <f>TEXT(VLOOKUP(WEEKDAY($H176),Data!$C$10:$D$16,2,FALSE),"G/표준;;")</f>
        <v>노트북</v>
      </c>
      <c r="Q176" s="68" t="s">
        <v>37</v>
      </c>
    </row>
    <row r="177" spans="6:17">
      <c r="F177" s="64">
        <v>176</v>
      </c>
      <c r="G177" s="65">
        <f t="shared" si="5"/>
        <v>44006</v>
      </c>
      <c r="H177" s="66">
        <f t="shared" si="4"/>
        <v>44006</v>
      </c>
      <c r="P177" s="132" t="str">
        <f>TEXT(VLOOKUP(WEEKDAY($H177),Data!$C$10:$D$16,2,FALSE),"G/표준;;")</f>
        <v>재활용(밤)</v>
      </c>
      <c r="Q177" s="68" t="s">
        <v>37</v>
      </c>
    </row>
    <row r="178" spans="6:17">
      <c r="F178" s="64">
        <v>177</v>
      </c>
      <c r="G178" s="65">
        <f t="shared" si="5"/>
        <v>44007</v>
      </c>
      <c r="H178" s="66">
        <f t="shared" si="4"/>
        <v>44007</v>
      </c>
      <c r="P178" s="132" t="str">
        <f>TEXT(VLOOKUP(WEEKDAY($H178),Data!$C$10:$D$16,2,FALSE),"G/표준;;")</f>
        <v>일반(밤)</v>
      </c>
      <c r="Q178" s="68" t="s">
        <v>37</v>
      </c>
    </row>
    <row r="179" spans="6:17">
      <c r="F179" s="64">
        <v>178</v>
      </c>
      <c r="G179" s="65">
        <f t="shared" si="5"/>
        <v>44008</v>
      </c>
      <c r="H179" s="66">
        <f t="shared" si="4"/>
        <v>44008</v>
      </c>
      <c r="P179" s="132" t="str">
        <f>TEXT(VLOOKUP(WEEKDAY($H179),Data!$C$10:$D$16,2,FALSE),"G/표준;;")</f>
        <v>먼지 소독</v>
      </c>
      <c r="Q179" s="68" t="s">
        <v>37</v>
      </c>
    </row>
    <row r="180" spans="6:17">
      <c r="F180" s="64">
        <v>179</v>
      </c>
      <c r="G180" s="65">
        <f t="shared" si="5"/>
        <v>44009</v>
      </c>
      <c r="H180" s="66">
        <f t="shared" si="4"/>
        <v>44009</v>
      </c>
      <c r="P180" s="132" t="str">
        <f>TEXT(VLOOKUP(WEEKDAY($H180),Data!$C$10:$D$16,2,FALSE),"G/표준;;")</f>
        <v>필터교체</v>
      </c>
      <c r="Q180" s="68" t="s">
        <v>37</v>
      </c>
    </row>
    <row r="181" spans="6:17">
      <c r="F181" s="64">
        <v>180</v>
      </c>
      <c r="G181" s="65">
        <f t="shared" si="5"/>
        <v>44010</v>
      </c>
      <c r="H181" s="66">
        <f t="shared" si="4"/>
        <v>44010</v>
      </c>
      <c r="P181" s="132" t="str">
        <f>TEXT(VLOOKUP(WEEKDAY($H181),Data!$C$10:$D$16,2,FALSE),"G/표준;;")</f>
        <v>다림질, 손코</v>
      </c>
      <c r="Q181" s="68" t="s">
        <v>37</v>
      </c>
    </row>
    <row r="182" spans="6:17">
      <c r="F182" s="64">
        <v>181</v>
      </c>
      <c r="G182" s="65">
        <f t="shared" si="5"/>
        <v>44011</v>
      </c>
      <c r="H182" s="66">
        <f t="shared" si="4"/>
        <v>44011</v>
      </c>
      <c r="P182" s="132" t="str">
        <f>TEXT(VLOOKUP(WEEKDAY($H182),Data!$C$10:$D$16,2,FALSE),"G/표준;;")</f>
        <v>일반(밤)</v>
      </c>
      <c r="Q182" s="68" t="s">
        <v>37</v>
      </c>
    </row>
    <row r="183" spans="6:17">
      <c r="F183" s="64">
        <v>182</v>
      </c>
      <c r="G183" s="65">
        <f t="shared" si="5"/>
        <v>44012</v>
      </c>
      <c r="H183" s="66">
        <f t="shared" si="4"/>
        <v>44012</v>
      </c>
      <c r="P183" s="132" t="str">
        <f>TEXT(VLOOKUP(WEEKDAY($H183),Data!$C$10:$D$16,2,FALSE),"G/표준;;")</f>
        <v>노트북</v>
      </c>
      <c r="Q183" s="68" t="s">
        <v>37</v>
      </c>
    </row>
    <row r="184" spans="6:17">
      <c r="F184" s="64">
        <v>183</v>
      </c>
      <c r="G184" s="65">
        <f t="shared" si="5"/>
        <v>44013</v>
      </c>
      <c r="H184" s="66">
        <f t="shared" si="4"/>
        <v>44013</v>
      </c>
      <c r="P184" s="132" t="str">
        <f>TEXT(VLOOKUP(WEEKDAY($H184),Data!$C$10:$D$16,2,FALSE),"G/표준;;")</f>
        <v>재활용(밤)</v>
      </c>
      <c r="Q184" s="68" t="s">
        <v>37</v>
      </c>
    </row>
    <row r="185" spans="6:17">
      <c r="F185" s="64">
        <v>184</v>
      </c>
      <c r="G185" s="65">
        <f t="shared" si="5"/>
        <v>44014</v>
      </c>
      <c r="H185" s="66">
        <f t="shared" si="4"/>
        <v>44014</v>
      </c>
      <c r="P185" s="132" t="str">
        <f>TEXT(VLOOKUP(WEEKDAY($H185),Data!$C$10:$D$16,2,FALSE),"G/표준;;")</f>
        <v>일반(밤)</v>
      </c>
      <c r="Q185" s="68" t="s">
        <v>37</v>
      </c>
    </row>
    <row r="186" spans="6:17">
      <c r="F186" s="64">
        <v>185</v>
      </c>
      <c r="G186" s="65">
        <f t="shared" si="5"/>
        <v>44015</v>
      </c>
      <c r="H186" s="66">
        <f t="shared" si="4"/>
        <v>44015</v>
      </c>
      <c r="P186" s="132" t="str">
        <f>TEXT(VLOOKUP(WEEKDAY($H186),Data!$C$10:$D$16,2,FALSE),"G/표준;;")</f>
        <v>먼지 소독</v>
      </c>
      <c r="Q186" s="68" t="s">
        <v>37</v>
      </c>
    </row>
    <row r="187" spans="6:17">
      <c r="F187" s="64">
        <v>186</v>
      </c>
      <c r="G187" s="65">
        <f t="shared" si="5"/>
        <v>44016</v>
      </c>
      <c r="H187" s="66">
        <f t="shared" si="4"/>
        <v>44016</v>
      </c>
      <c r="P187" s="132" t="str">
        <f>TEXT(VLOOKUP(WEEKDAY($H187),Data!$C$10:$D$16,2,FALSE),"G/표준;;")</f>
        <v>필터교체</v>
      </c>
      <c r="Q187" s="68" t="s">
        <v>37</v>
      </c>
    </row>
    <row r="188" spans="6:17">
      <c r="F188" s="64">
        <v>187</v>
      </c>
      <c r="G188" s="65">
        <f t="shared" si="5"/>
        <v>44017</v>
      </c>
      <c r="H188" s="66">
        <f t="shared" si="4"/>
        <v>44017</v>
      </c>
      <c r="P188" s="132" t="str">
        <f>TEXT(VLOOKUP(WEEKDAY($H188),Data!$C$10:$D$16,2,FALSE),"G/표준;;")</f>
        <v>다림질, 손코</v>
      </c>
      <c r="Q188" s="68" t="s">
        <v>37</v>
      </c>
    </row>
    <row r="189" spans="6:17">
      <c r="F189" s="64">
        <v>188</v>
      </c>
      <c r="G189" s="65">
        <f t="shared" si="5"/>
        <v>44018</v>
      </c>
      <c r="H189" s="66">
        <f t="shared" si="4"/>
        <v>44018</v>
      </c>
      <c r="P189" s="132" t="str">
        <f>TEXT(VLOOKUP(WEEKDAY($H189),Data!$C$10:$D$16,2,FALSE),"G/표준;;")</f>
        <v>일반(밤)</v>
      </c>
      <c r="Q189" s="68" t="s">
        <v>37</v>
      </c>
    </row>
    <row r="190" spans="6:17">
      <c r="F190" s="64">
        <v>189</v>
      </c>
      <c r="G190" s="65">
        <f t="shared" si="5"/>
        <v>44019</v>
      </c>
      <c r="H190" s="66">
        <f t="shared" si="4"/>
        <v>44019</v>
      </c>
      <c r="P190" s="132" t="str">
        <f>TEXT(VLOOKUP(WEEKDAY($H190),Data!$C$10:$D$16,2,FALSE),"G/표준;;")</f>
        <v>노트북</v>
      </c>
      <c r="Q190" s="68" t="s">
        <v>37</v>
      </c>
    </row>
    <row r="191" spans="6:17">
      <c r="F191" s="64">
        <v>190</v>
      </c>
      <c r="G191" s="65">
        <f t="shared" si="5"/>
        <v>44020</v>
      </c>
      <c r="H191" s="66">
        <f t="shared" si="4"/>
        <v>44020</v>
      </c>
      <c r="P191" s="132" t="str">
        <f>TEXT(VLOOKUP(WEEKDAY($H191),Data!$C$10:$D$16,2,FALSE),"G/표준;;")</f>
        <v>재활용(밤)</v>
      </c>
      <c r="Q191" s="68" t="s">
        <v>37</v>
      </c>
    </row>
    <row r="192" spans="6:17">
      <c r="F192" s="64">
        <v>191</v>
      </c>
      <c r="G192" s="65">
        <f t="shared" si="5"/>
        <v>44021</v>
      </c>
      <c r="H192" s="66">
        <f t="shared" si="4"/>
        <v>44021</v>
      </c>
      <c r="P192" s="132" t="str">
        <f>TEXT(VLOOKUP(WEEKDAY($H192),Data!$C$10:$D$16,2,FALSE),"G/표준;;")</f>
        <v>일반(밤)</v>
      </c>
      <c r="Q192" s="68" t="s">
        <v>37</v>
      </c>
    </row>
    <row r="193" spans="6:17">
      <c r="F193" s="64">
        <v>192</v>
      </c>
      <c r="G193" s="65">
        <f t="shared" si="5"/>
        <v>44022</v>
      </c>
      <c r="H193" s="66">
        <f t="shared" si="4"/>
        <v>44022</v>
      </c>
      <c r="P193" s="132" t="str">
        <f>TEXT(VLOOKUP(WEEKDAY($H193),Data!$C$10:$D$16,2,FALSE),"G/표준;;")</f>
        <v>먼지 소독</v>
      </c>
      <c r="Q193" s="68" t="s">
        <v>37</v>
      </c>
    </row>
    <row r="194" spans="6:17">
      <c r="F194" s="64">
        <v>193</v>
      </c>
      <c r="G194" s="65">
        <f t="shared" si="5"/>
        <v>44023</v>
      </c>
      <c r="H194" s="66">
        <f t="shared" si="4"/>
        <v>44023</v>
      </c>
      <c r="P194" s="132" t="str">
        <f>TEXT(VLOOKUP(WEEKDAY($H194),Data!$C$10:$D$16,2,FALSE),"G/표준;;")</f>
        <v>필터교체</v>
      </c>
      <c r="Q194" s="68" t="s">
        <v>37</v>
      </c>
    </row>
    <row r="195" spans="6:17">
      <c r="F195" s="64">
        <v>194</v>
      </c>
      <c r="G195" s="65">
        <f t="shared" si="5"/>
        <v>44024</v>
      </c>
      <c r="H195" s="66">
        <f t="shared" ref="H195:H258" si="6">G195</f>
        <v>44024</v>
      </c>
      <c r="P195" s="132" t="str">
        <f>TEXT(VLOOKUP(WEEKDAY($H195),Data!$C$10:$D$16,2,FALSE),"G/표준;;")</f>
        <v>다림질, 손코</v>
      </c>
      <c r="Q195" s="68" t="s">
        <v>37</v>
      </c>
    </row>
    <row r="196" spans="6:17">
      <c r="F196" s="64">
        <v>195</v>
      </c>
      <c r="G196" s="65">
        <f t="shared" ref="G196:G253" si="7">G195+1</f>
        <v>44025</v>
      </c>
      <c r="H196" s="66">
        <f t="shared" si="6"/>
        <v>44025</v>
      </c>
      <c r="P196" s="132" t="str">
        <f>TEXT(VLOOKUP(WEEKDAY($H196),Data!$C$10:$D$16,2,FALSE),"G/표준;;")</f>
        <v>일반(밤)</v>
      </c>
      <c r="Q196" s="68" t="s">
        <v>37</v>
      </c>
    </row>
    <row r="197" spans="6:17">
      <c r="F197" s="64">
        <v>196</v>
      </c>
      <c r="G197" s="65">
        <f t="shared" si="7"/>
        <v>44026</v>
      </c>
      <c r="H197" s="66">
        <f t="shared" si="6"/>
        <v>44026</v>
      </c>
      <c r="P197" s="132" t="str">
        <f>TEXT(VLOOKUP(WEEKDAY($H197),Data!$C$10:$D$16,2,FALSE),"G/표준;;")</f>
        <v>노트북</v>
      </c>
      <c r="Q197" s="68" t="s">
        <v>37</v>
      </c>
    </row>
    <row r="198" spans="6:17">
      <c r="F198" s="64">
        <v>197</v>
      </c>
      <c r="G198" s="65">
        <f t="shared" si="7"/>
        <v>44027</v>
      </c>
      <c r="H198" s="66">
        <f t="shared" si="6"/>
        <v>44027</v>
      </c>
      <c r="P198" s="132" t="str">
        <f>TEXT(VLOOKUP(WEEKDAY($H198),Data!$C$10:$D$16,2,FALSE),"G/표준;;")</f>
        <v>재활용(밤)</v>
      </c>
      <c r="Q198" s="68" t="s">
        <v>37</v>
      </c>
    </row>
    <row r="199" spans="6:17">
      <c r="F199" s="64">
        <v>198</v>
      </c>
      <c r="G199" s="65">
        <f t="shared" si="7"/>
        <v>44028</v>
      </c>
      <c r="H199" s="66">
        <f t="shared" si="6"/>
        <v>44028</v>
      </c>
      <c r="P199" s="132" t="str">
        <f>TEXT(VLOOKUP(WEEKDAY($H199),Data!$C$10:$D$16,2,FALSE),"G/표준;;")</f>
        <v>일반(밤)</v>
      </c>
      <c r="Q199" s="68" t="s">
        <v>37</v>
      </c>
    </row>
    <row r="200" spans="6:17">
      <c r="F200" s="64">
        <v>199</v>
      </c>
      <c r="G200" s="65">
        <f t="shared" si="7"/>
        <v>44029</v>
      </c>
      <c r="H200" s="66">
        <f t="shared" si="6"/>
        <v>44029</v>
      </c>
      <c r="P200" s="132" t="str">
        <f>TEXT(VLOOKUP(WEEKDAY($H200),Data!$C$10:$D$16,2,FALSE),"G/표준;;")</f>
        <v>먼지 소독</v>
      </c>
      <c r="Q200" s="68" t="s">
        <v>37</v>
      </c>
    </row>
    <row r="201" spans="6:17">
      <c r="F201" s="64">
        <v>200</v>
      </c>
      <c r="G201" s="65">
        <f t="shared" si="7"/>
        <v>44030</v>
      </c>
      <c r="H201" s="66">
        <f t="shared" si="6"/>
        <v>44030</v>
      </c>
      <c r="P201" s="132" t="str">
        <f>TEXT(VLOOKUP(WEEKDAY($H201),Data!$C$10:$D$16,2,FALSE),"G/표준;;")</f>
        <v>필터교체</v>
      </c>
      <c r="Q201" s="68" t="s">
        <v>37</v>
      </c>
    </row>
    <row r="202" spans="6:17">
      <c r="F202" s="64">
        <v>201</v>
      </c>
      <c r="G202" s="65">
        <f t="shared" si="7"/>
        <v>44031</v>
      </c>
      <c r="H202" s="66">
        <f t="shared" si="6"/>
        <v>44031</v>
      </c>
      <c r="P202" s="132" t="str">
        <f>TEXT(VLOOKUP(WEEKDAY($H202),Data!$C$10:$D$16,2,FALSE),"G/표준;;")</f>
        <v>다림질, 손코</v>
      </c>
      <c r="Q202" s="68" t="s">
        <v>37</v>
      </c>
    </row>
    <row r="203" spans="6:17">
      <c r="F203" s="64">
        <v>202</v>
      </c>
      <c r="G203" s="65">
        <f t="shared" si="7"/>
        <v>44032</v>
      </c>
      <c r="H203" s="66">
        <f t="shared" si="6"/>
        <v>44032</v>
      </c>
      <c r="P203" s="132" t="str">
        <f>TEXT(VLOOKUP(WEEKDAY($H203),Data!$C$10:$D$16,2,FALSE),"G/표준;;")</f>
        <v>일반(밤)</v>
      </c>
      <c r="Q203" s="68" t="s">
        <v>37</v>
      </c>
    </row>
    <row r="204" spans="6:17">
      <c r="F204" s="64">
        <v>203</v>
      </c>
      <c r="G204" s="65">
        <f t="shared" si="7"/>
        <v>44033</v>
      </c>
      <c r="H204" s="66">
        <f t="shared" si="6"/>
        <v>44033</v>
      </c>
      <c r="P204" s="132" t="str">
        <f>TEXT(VLOOKUP(WEEKDAY($H204),Data!$C$10:$D$16,2,FALSE),"G/표준;;")</f>
        <v>노트북</v>
      </c>
      <c r="Q204" s="68" t="s">
        <v>37</v>
      </c>
    </row>
    <row r="205" spans="6:17">
      <c r="F205" s="64">
        <v>204</v>
      </c>
      <c r="G205" s="65">
        <f t="shared" si="7"/>
        <v>44034</v>
      </c>
      <c r="H205" s="66">
        <f t="shared" si="6"/>
        <v>44034</v>
      </c>
      <c r="P205" s="132" t="str">
        <f>TEXT(VLOOKUP(WEEKDAY($H205),Data!$C$10:$D$16,2,FALSE),"G/표준;;")</f>
        <v>재활용(밤)</v>
      </c>
      <c r="Q205" s="68" t="s">
        <v>37</v>
      </c>
    </row>
    <row r="206" spans="6:17">
      <c r="F206" s="64">
        <v>205</v>
      </c>
      <c r="G206" s="65">
        <f t="shared" si="7"/>
        <v>44035</v>
      </c>
      <c r="H206" s="66">
        <f t="shared" si="6"/>
        <v>44035</v>
      </c>
      <c r="P206" s="132" t="str">
        <f>TEXT(VLOOKUP(WEEKDAY($H206),Data!$C$10:$D$16,2,FALSE),"G/표준;;")</f>
        <v>일반(밤)</v>
      </c>
      <c r="Q206" s="68" t="s">
        <v>37</v>
      </c>
    </row>
    <row r="207" spans="6:17">
      <c r="F207" s="64">
        <v>206</v>
      </c>
      <c r="G207" s="65">
        <f t="shared" si="7"/>
        <v>44036</v>
      </c>
      <c r="H207" s="66">
        <f t="shared" si="6"/>
        <v>44036</v>
      </c>
      <c r="P207" s="132" t="str">
        <f>TEXT(VLOOKUP(WEEKDAY($H207),Data!$C$10:$D$16,2,FALSE),"G/표준;;")</f>
        <v>먼지 소독</v>
      </c>
      <c r="Q207" s="68" t="s">
        <v>37</v>
      </c>
    </row>
    <row r="208" spans="6:17">
      <c r="F208" s="64">
        <v>207</v>
      </c>
      <c r="G208" s="65">
        <f t="shared" si="7"/>
        <v>44037</v>
      </c>
      <c r="H208" s="66">
        <f t="shared" si="6"/>
        <v>44037</v>
      </c>
      <c r="P208" s="132" t="str">
        <f>TEXT(VLOOKUP(WEEKDAY($H208),Data!$C$10:$D$16,2,FALSE),"G/표준;;")</f>
        <v>필터교체</v>
      </c>
      <c r="Q208" s="68" t="s">
        <v>37</v>
      </c>
    </row>
    <row r="209" spans="6:17">
      <c r="F209" s="64">
        <v>208</v>
      </c>
      <c r="G209" s="65">
        <f t="shared" si="7"/>
        <v>44038</v>
      </c>
      <c r="H209" s="66">
        <f t="shared" si="6"/>
        <v>44038</v>
      </c>
      <c r="P209" s="132" t="str">
        <f>TEXT(VLOOKUP(WEEKDAY($H209),Data!$C$10:$D$16,2,FALSE),"G/표준;;")</f>
        <v>다림질, 손코</v>
      </c>
      <c r="Q209" s="68" t="s">
        <v>37</v>
      </c>
    </row>
    <row r="210" spans="6:17">
      <c r="F210" s="64">
        <v>209</v>
      </c>
      <c r="G210" s="65">
        <f t="shared" si="7"/>
        <v>44039</v>
      </c>
      <c r="H210" s="66">
        <f t="shared" si="6"/>
        <v>44039</v>
      </c>
      <c r="P210" s="132" t="str">
        <f>TEXT(VLOOKUP(WEEKDAY($H210),Data!$C$10:$D$16,2,FALSE),"G/표준;;")</f>
        <v>일반(밤)</v>
      </c>
      <c r="Q210" s="68" t="s">
        <v>37</v>
      </c>
    </row>
    <row r="211" spans="6:17">
      <c r="F211" s="64">
        <v>210</v>
      </c>
      <c r="G211" s="65">
        <f t="shared" si="7"/>
        <v>44040</v>
      </c>
      <c r="H211" s="66">
        <f t="shared" si="6"/>
        <v>44040</v>
      </c>
      <c r="P211" s="132" t="str">
        <f>TEXT(VLOOKUP(WEEKDAY($H211),Data!$C$10:$D$16,2,FALSE),"G/표준;;")</f>
        <v>노트북</v>
      </c>
      <c r="Q211" s="68" t="s">
        <v>37</v>
      </c>
    </row>
    <row r="212" spans="6:17">
      <c r="F212" s="64">
        <v>211</v>
      </c>
      <c r="G212" s="65">
        <f t="shared" si="7"/>
        <v>44041</v>
      </c>
      <c r="H212" s="66">
        <f t="shared" si="6"/>
        <v>44041</v>
      </c>
      <c r="P212" s="132" t="str">
        <f>TEXT(VLOOKUP(WEEKDAY($H212),Data!$C$10:$D$16,2,FALSE),"G/표준;;")</f>
        <v>재활용(밤)</v>
      </c>
      <c r="Q212" s="68" t="s">
        <v>37</v>
      </c>
    </row>
    <row r="213" spans="6:17">
      <c r="F213" s="64">
        <v>212</v>
      </c>
      <c r="G213" s="65">
        <f t="shared" si="7"/>
        <v>44042</v>
      </c>
      <c r="H213" s="66">
        <f t="shared" si="6"/>
        <v>44042</v>
      </c>
      <c r="P213" s="132" t="str">
        <f>TEXT(VLOOKUP(WEEKDAY($H213),Data!$C$10:$D$16,2,FALSE),"G/표준;;")</f>
        <v>일반(밤)</v>
      </c>
      <c r="Q213" s="68" t="s">
        <v>37</v>
      </c>
    </row>
    <row r="214" spans="6:17">
      <c r="F214" s="64">
        <v>213</v>
      </c>
      <c r="G214" s="65">
        <f t="shared" si="7"/>
        <v>44043</v>
      </c>
      <c r="H214" s="66">
        <f t="shared" si="6"/>
        <v>44043</v>
      </c>
      <c r="P214" s="132" t="str">
        <f>TEXT(VLOOKUP(WEEKDAY($H214),Data!$C$10:$D$16,2,FALSE),"G/표준;;")</f>
        <v>먼지 소독</v>
      </c>
      <c r="Q214" s="68" t="s">
        <v>37</v>
      </c>
    </row>
    <row r="215" spans="6:17">
      <c r="F215" s="64">
        <v>214</v>
      </c>
      <c r="G215" s="65">
        <f t="shared" si="7"/>
        <v>44044</v>
      </c>
      <c r="H215" s="66">
        <f t="shared" si="6"/>
        <v>44044</v>
      </c>
      <c r="P215" s="132" t="str">
        <f>TEXT(VLOOKUP(WEEKDAY($H215),Data!$C$10:$D$16,2,FALSE),"G/표준;;")</f>
        <v>필터교체</v>
      </c>
      <c r="Q215" s="68" t="s">
        <v>37</v>
      </c>
    </row>
    <row r="216" spans="6:17">
      <c r="F216" s="64">
        <v>215</v>
      </c>
      <c r="G216" s="65">
        <f t="shared" si="7"/>
        <v>44045</v>
      </c>
      <c r="H216" s="66">
        <f t="shared" si="6"/>
        <v>44045</v>
      </c>
      <c r="P216" s="132" t="str">
        <f>TEXT(VLOOKUP(WEEKDAY($H216),Data!$C$10:$D$16,2,FALSE),"G/표준;;")</f>
        <v>다림질, 손코</v>
      </c>
      <c r="Q216" s="68" t="s">
        <v>37</v>
      </c>
    </row>
    <row r="217" spans="6:17">
      <c r="F217" s="64">
        <v>216</v>
      </c>
      <c r="G217" s="65">
        <f t="shared" si="7"/>
        <v>44046</v>
      </c>
      <c r="H217" s="66">
        <f t="shared" si="6"/>
        <v>44046</v>
      </c>
      <c r="P217" s="132" t="str">
        <f>TEXT(VLOOKUP(WEEKDAY($H217),Data!$C$10:$D$16,2,FALSE),"G/표준;;")</f>
        <v>일반(밤)</v>
      </c>
      <c r="Q217" s="68" t="s">
        <v>37</v>
      </c>
    </row>
    <row r="218" spans="6:17">
      <c r="F218" s="64">
        <v>217</v>
      </c>
      <c r="G218" s="65">
        <f t="shared" si="7"/>
        <v>44047</v>
      </c>
      <c r="H218" s="66">
        <f t="shared" si="6"/>
        <v>44047</v>
      </c>
      <c r="P218" s="132" t="str">
        <f>TEXT(VLOOKUP(WEEKDAY($H218),Data!$C$10:$D$16,2,FALSE),"G/표준;;")</f>
        <v>노트북</v>
      </c>
      <c r="Q218" s="68" t="s">
        <v>37</v>
      </c>
    </row>
    <row r="219" spans="6:17">
      <c r="F219" s="64">
        <v>218</v>
      </c>
      <c r="G219" s="65">
        <f t="shared" si="7"/>
        <v>44048</v>
      </c>
      <c r="H219" s="66">
        <f t="shared" si="6"/>
        <v>44048</v>
      </c>
      <c r="P219" s="132" t="str">
        <f>TEXT(VLOOKUP(WEEKDAY($H219),Data!$C$10:$D$16,2,FALSE),"G/표준;;")</f>
        <v>재활용(밤)</v>
      </c>
      <c r="Q219" s="68" t="s">
        <v>37</v>
      </c>
    </row>
    <row r="220" spans="6:17">
      <c r="F220" s="64">
        <v>219</v>
      </c>
      <c r="G220" s="65">
        <f t="shared" si="7"/>
        <v>44049</v>
      </c>
      <c r="H220" s="66">
        <f t="shared" si="6"/>
        <v>44049</v>
      </c>
      <c r="P220" s="132" t="str">
        <f>TEXT(VLOOKUP(WEEKDAY($H220),Data!$C$10:$D$16,2,FALSE),"G/표준;;")</f>
        <v>일반(밤)</v>
      </c>
      <c r="Q220" s="68" t="s">
        <v>37</v>
      </c>
    </row>
    <row r="221" spans="6:17">
      <c r="F221" s="64">
        <v>220</v>
      </c>
      <c r="G221" s="65">
        <f t="shared" si="7"/>
        <v>44050</v>
      </c>
      <c r="H221" s="66">
        <f t="shared" si="6"/>
        <v>44050</v>
      </c>
      <c r="P221" s="132" t="str">
        <f>TEXT(VLOOKUP(WEEKDAY($H221),Data!$C$10:$D$16,2,FALSE),"G/표준;;")</f>
        <v>먼지 소독</v>
      </c>
      <c r="Q221" s="68" t="s">
        <v>37</v>
      </c>
    </row>
    <row r="222" spans="6:17">
      <c r="F222" s="64">
        <v>221</v>
      </c>
      <c r="G222" s="65">
        <f t="shared" si="7"/>
        <v>44051</v>
      </c>
      <c r="H222" s="66">
        <f t="shared" si="6"/>
        <v>44051</v>
      </c>
      <c r="P222" s="132" t="str">
        <f>TEXT(VLOOKUP(WEEKDAY($H222),Data!$C$10:$D$16,2,FALSE),"G/표준;;")</f>
        <v>필터교체</v>
      </c>
      <c r="Q222" s="68" t="s">
        <v>37</v>
      </c>
    </row>
    <row r="223" spans="6:17">
      <c r="F223" s="64">
        <v>222</v>
      </c>
      <c r="G223" s="65">
        <f t="shared" si="7"/>
        <v>44052</v>
      </c>
      <c r="H223" s="66">
        <f t="shared" si="6"/>
        <v>44052</v>
      </c>
      <c r="P223" s="132" t="str">
        <f>TEXT(VLOOKUP(WEEKDAY($H223),Data!$C$10:$D$16,2,FALSE),"G/표준;;")</f>
        <v>다림질, 손코</v>
      </c>
      <c r="Q223" s="68" t="s">
        <v>37</v>
      </c>
    </row>
    <row r="224" spans="6:17">
      <c r="F224" s="64">
        <v>223</v>
      </c>
      <c r="G224" s="65">
        <f t="shared" si="7"/>
        <v>44053</v>
      </c>
      <c r="H224" s="66">
        <f t="shared" si="6"/>
        <v>44053</v>
      </c>
      <c r="P224" s="132" t="str">
        <f>TEXT(VLOOKUP(WEEKDAY($H224),Data!$C$10:$D$16,2,FALSE),"G/표준;;")</f>
        <v>일반(밤)</v>
      </c>
      <c r="Q224" s="68" t="s">
        <v>37</v>
      </c>
    </row>
    <row r="225" spans="6:17">
      <c r="F225" s="64">
        <v>224</v>
      </c>
      <c r="G225" s="65">
        <f t="shared" si="7"/>
        <v>44054</v>
      </c>
      <c r="H225" s="66">
        <f t="shared" si="6"/>
        <v>44054</v>
      </c>
      <c r="P225" s="132" t="str">
        <f>TEXT(VLOOKUP(WEEKDAY($H225),Data!$C$10:$D$16,2,FALSE),"G/표준;;")</f>
        <v>노트북</v>
      </c>
      <c r="Q225" s="68" t="s">
        <v>37</v>
      </c>
    </row>
    <row r="226" spans="6:17">
      <c r="F226" s="64">
        <v>225</v>
      </c>
      <c r="G226" s="65">
        <f t="shared" si="7"/>
        <v>44055</v>
      </c>
      <c r="H226" s="66">
        <f t="shared" si="6"/>
        <v>44055</v>
      </c>
      <c r="P226" s="132" t="str">
        <f>TEXT(VLOOKUP(WEEKDAY($H226),Data!$C$10:$D$16,2,FALSE),"G/표준;;")</f>
        <v>재활용(밤)</v>
      </c>
      <c r="Q226" s="68" t="s">
        <v>37</v>
      </c>
    </row>
    <row r="227" spans="6:17">
      <c r="F227" s="64">
        <v>226</v>
      </c>
      <c r="G227" s="65">
        <f t="shared" si="7"/>
        <v>44056</v>
      </c>
      <c r="H227" s="66">
        <f t="shared" si="6"/>
        <v>44056</v>
      </c>
      <c r="P227" s="132" t="str">
        <f>TEXT(VLOOKUP(WEEKDAY($H227),Data!$C$10:$D$16,2,FALSE),"G/표준;;")</f>
        <v>일반(밤)</v>
      </c>
      <c r="Q227" s="68" t="s">
        <v>37</v>
      </c>
    </row>
    <row r="228" spans="6:17">
      <c r="F228" s="64">
        <v>227</v>
      </c>
      <c r="G228" s="65">
        <f t="shared" si="7"/>
        <v>44057</v>
      </c>
      <c r="H228" s="66">
        <f t="shared" si="6"/>
        <v>44057</v>
      </c>
      <c r="P228" s="132" t="str">
        <f>TEXT(VLOOKUP(WEEKDAY($H228),Data!$C$10:$D$16,2,FALSE),"G/표준;;")</f>
        <v>먼지 소독</v>
      </c>
      <c r="Q228" s="68" t="s">
        <v>37</v>
      </c>
    </row>
    <row r="229" spans="6:17">
      <c r="F229" s="64">
        <v>228</v>
      </c>
      <c r="G229" s="65">
        <f t="shared" si="7"/>
        <v>44058</v>
      </c>
      <c r="H229" s="66">
        <f t="shared" si="6"/>
        <v>44058</v>
      </c>
      <c r="P229" s="132" t="str">
        <f>TEXT(VLOOKUP(WEEKDAY($H229),Data!$C$10:$D$16,2,FALSE),"G/표준;;")</f>
        <v>필터교체</v>
      </c>
      <c r="Q229" s="68" t="s">
        <v>37</v>
      </c>
    </row>
    <row r="230" spans="6:17">
      <c r="F230" s="64">
        <v>229</v>
      </c>
      <c r="G230" s="65">
        <f t="shared" si="7"/>
        <v>44059</v>
      </c>
      <c r="H230" s="66">
        <f t="shared" si="6"/>
        <v>44059</v>
      </c>
      <c r="P230" s="132" t="str">
        <f>TEXT(VLOOKUP(WEEKDAY($H230),Data!$C$10:$D$16,2,FALSE),"G/표준;;")</f>
        <v>다림질, 손코</v>
      </c>
      <c r="Q230" s="68" t="s">
        <v>37</v>
      </c>
    </row>
    <row r="231" spans="6:17">
      <c r="F231" s="64">
        <v>230</v>
      </c>
      <c r="G231" s="65">
        <f t="shared" si="7"/>
        <v>44060</v>
      </c>
      <c r="H231" s="66">
        <f t="shared" si="6"/>
        <v>44060</v>
      </c>
      <c r="P231" s="132" t="str">
        <f>TEXT(VLOOKUP(WEEKDAY($H231),Data!$C$10:$D$16,2,FALSE),"G/표준;;")</f>
        <v>일반(밤)</v>
      </c>
      <c r="Q231" s="68" t="s">
        <v>37</v>
      </c>
    </row>
    <row r="232" spans="6:17">
      <c r="F232" s="64">
        <v>231</v>
      </c>
      <c r="G232" s="65">
        <f t="shared" si="7"/>
        <v>44061</v>
      </c>
      <c r="H232" s="66">
        <f t="shared" si="6"/>
        <v>44061</v>
      </c>
      <c r="P232" s="132" t="str">
        <f>TEXT(VLOOKUP(WEEKDAY($H232),Data!$C$10:$D$16,2,FALSE),"G/표준;;")</f>
        <v>노트북</v>
      </c>
      <c r="Q232" s="68" t="s">
        <v>37</v>
      </c>
    </row>
    <row r="233" spans="6:17">
      <c r="F233" s="64">
        <v>232</v>
      </c>
      <c r="G233" s="65">
        <f t="shared" si="7"/>
        <v>44062</v>
      </c>
      <c r="H233" s="66">
        <f t="shared" si="6"/>
        <v>44062</v>
      </c>
      <c r="P233" s="132" t="str">
        <f>TEXT(VLOOKUP(WEEKDAY($H233),Data!$C$10:$D$16,2,FALSE),"G/표준;;")</f>
        <v>재활용(밤)</v>
      </c>
      <c r="Q233" s="68" t="s">
        <v>37</v>
      </c>
    </row>
    <row r="234" spans="6:17">
      <c r="F234" s="64">
        <v>233</v>
      </c>
      <c r="G234" s="65">
        <f t="shared" si="7"/>
        <v>44063</v>
      </c>
      <c r="H234" s="66">
        <f t="shared" si="6"/>
        <v>44063</v>
      </c>
      <c r="P234" s="132" t="str">
        <f>TEXT(VLOOKUP(WEEKDAY($H234),Data!$C$10:$D$16,2,FALSE),"G/표준;;")</f>
        <v>일반(밤)</v>
      </c>
      <c r="Q234" s="68" t="s">
        <v>37</v>
      </c>
    </row>
    <row r="235" spans="6:17">
      <c r="F235" s="64">
        <v>234</v>
      </c>
      <c r="G235" s="65">
        <f t="shared" si="7"/>
        <v>44064</v>
      </c>
      <c r="H235" s="66">
        <f t="shared" si="6"/>
        <v>44064</v>
      </c>
      <c r="P235" s="132" t="str">
        <f>TEXT(VLOOKUP(WEEKDAY($H235),Data!$C$10:$D$16,2,FALSE),"G/표준;;")</f>
        <v>먼지 소독</v>
      </c>
      <c r="Q235" s="68" t="s">
        <v>37</v>
      </c>
    </row>
    <row r="236" spans="6:17">
      <c r="F236" s="64">
        <v>235</v>
      </c>
      <c r="G236" s="65">
        <f t="shared" si="7"/>
        <v>44065</v>
      </c>
      <c r="H236" s="66">
        <f t="shared" si="6"/>
        <v>44065</v>
      </c>
      <c r="P236" s="132" t="str">
        <f>TEXT(VLOOKUP(WEEKDAY($H236),Data!$C$10:$D$16,2,FALSE),"G/표준;;")</f>
        <v>필터교체</v>
      </c>
      <c r="Q236" s="68" t="s">
        <v>37</v>
      </c>
    </row>
    <row r="237" spans="6:17">
      <c r="F237" s="64">
        <v>236</v>
      </c>
      <c r="G237" s="65">
        <f t="shared" si="7"/>
        <v>44066</v>
      </c>
      <c r="H237" s="66">
        <f t="shared" si="6"/>
        <v>44066</v>
      </c>
      <c r="P237" s="132" t="str">
        <f>TEXT(VLOOKUP(WEEKDAY($H237),Data!$C$10:$D$16,2,FALSE),"G/표준;;")</f>
        <v>다림질, 손코</v>
      </c>
      <c r="Q237" s="68" t="s">
        <v>37</v>
      </c>
    </row>
    <row r="238" spans="6:17">
      <c r="F238" s="64">
        <v>237</v>
      </c>
      <c r="G238" s="65">
        <f t="shared" si="7"/>
        <v>44067</v>
      </c>
      <c r="H238" s="66">
        <f t="shared" si="6"/>
        <v>44067</v>
      </c>
      <c r="P238" s="132" t="str">
        <f>TEXT(VLOOKUP(WEEKDAY($H238),Data!$C$10:$D$16,2,FALSE),"G/표준;;")</f>
        <v>일반(밤)</v>
      </c>
      <c r="Q238" s="68" t="s">
        <v>37</v>
      </c>
    </row>
    <row r="239" spans="6:17">
      <c r="F239" s="64">
        <v>238</v>
      </c>
      <c r="G239" s="65">
        <f t="shared" si="7"/>
        <v>44068</v>
      </c>
      <c r="H239" s="66">
        <f t="shared" si="6"/>
        <v>44068</v>
      </c>
      <c r="P239" s="132" t="str">
        <f>TEXT(VLOOKUP(WEEKDAY($H239),Data!$C$10:$D$16,2,FALSE),"G/표준;;")</f>
        <v>노트북</v>
      </c>
      <c r="Q239" s="68" t="s">
        <v>37</v>
      </c>
    </row>
    <row r="240" spans="6:17">
      <c r="F240" s="64">
        <v>239</v>
      </c>
      <c r="G240" s="65">
        <f t="shared" si="7"/>
        <v>44069</v>
      </c>
      <c r="H240" s="66">
        <f t="shared" si="6"/>
        <v>44069</v>
      </c>
      <c r="P240" s="132" t="str">
        <f>TEXT(VLOOKUP(WEEKDAY($H240),Data!$C$10:$D$16,2,FALSE),"G/표준;;")</f>
        <v>재활용(밤)</v>
      </c>
      <c r="Q240" s="68" t="s">
        <v>37</v>
      </c>
    </row>
    <row r="241" spans="6:17">
      <c r="F241" s="64">
        <v>240</v>
      </c>
      <c r="G241" s="65">
        <f t="shared" si="7"/>
        <v>44070</v>
      </c>
      <c r="H241" s="66">
        <f t="shared" si="6"/>
        <v>44070</v>
      </c>
      <c r="P241" s="132" t="str">
        <f>TEXT(VLOOKUP(WEEKDAY($H241),Data!$C$10:$D$16,2,FALSE),"G/표준;;")</f>
        <v>일반(밤)</v>
      </c>
      <c r="Q241" s="68" t="s">
        <v>37</v>
      </c>
    </row>
    <row r="242" spans="6:17">
      <c r="F242" s="64">
        <v>241</v>
      </c>
      <c r="G242" s="65">
        <f t="shared" si="7"/>
        <v>44071</v>
      </c>
      <c r="H242" s="66">
        <f t="shared" si="6"/>
        <v>44071</v>
      </c>
      <c r="P242" s="132" t="str">
        <f>TEXT(VLOOKUP(WEEKDAY($H242),Data!$C$10:$D$16,2,FALSE),"G/표준;;")</f>
        <v>먼지 소독</v>
      </c>
      <c r="Q242" s="68" t="s">
        <v>37</v>
      </c>
    </row>
    <row r="243" spans="6:17">
      <c r="F243" s="64">
        <v>242</v>
      </c>
      <c r="G243" s="65">
        <f t="shared" si="7"/>
        <v>44072</v>
      </c>
      <c r="H243" s="66">
        <f t="shared" si="6"/>
        <v>44072</v>
      </c>
      <c r="P243" s="132" t="str">
        <f>TEXT(VLOOKUP(WEEKDAY($H243),Data!$C$10:$D$16,2,FALSE),"G/표준;;")</f>
        <v>필터교체</v>
      </c>
      <c r="Q243" s="68" t="s">
        <v>37</v>
      </c>
    </row>
    <row r="244" spans="6:17">
      <c r="F244" s="64">
        <v>243</v>
      </c>
      <c r="G244" s="65">
        <f t="shared" si="7"/>
        <v>44073</v>
      </c>
      <c r="H244" s="66">
        <f t="shared" si="6"/>
        <v>44073</v>
      </c>
      <c r="P244" s="132" t="str">
        <f>TEXT(VLOOKUP(WEEKDAY($H244),Data!$C$10:$D$16,2,FALSE),"G/표준;;")</f>
        <v>다림질, 손코</v>
      </c>
      <c r="Q244" s="68" t="s">
        <v>37</v>
      </c>
    </row>
    <row r="245" spans="6:17">
      <c r="F245" s="64">
        <v>244</v>
      </c>
      <c r="G245" s="65">
        <f t="shared" si="7"/>
        <v>44074</v>
      </c>
      <c r="H245" s="66">
        <f t="shared" si="6"/>
        <v>44074</v>
      </c>
      <c r="P245" s="132" t="str">
        <f>TEXT(VLOOKUP(WEEKDAY($H245),Data!$C$10:$D$16,2,FALSE),"G/표준;;")</f>
        <v>일반(밤)</v>
      </c>
      <c r="Q245" s="68" t="s">
        <v>37</v>
      </c>
    </row>
    <row r="246" spans="6:17">
      <c r="F246" s="64">
        <v>245</v>
      </c>
      <c r="G246" s="65">
        <f t="shared" si="7"/>
        <v>44075</v>
      </c>
      <c r="H246" s="66">
        <f t="shared" si="6"/>
        <v>44075</v>
      </c>
      <c r="P246" s="132" t="str">
        <f>TEXT(VLOOKUP(WEEKDAY($H246),Data!$C$10:$D$16,2,FALSE),"G/표준;;")</f>
        <v>노트북</v>
      </c>
      <c r="Q246" s="68" t="s">
        <v>37</v>
      </c>
    </row>
    <row r="247" spans="6:17">
      <c r="F247" s="64">
        <v>246</v>
      </c>
      <c r="G247" s="65">
        <f t="shared" si="7"/>
        <v>44076</v>
      </c>
      <c r="H247" s="66">
        <f t="shared" si="6"/>
        <v>44076</v>
      </c>
      <c r="P247" s="132" t="str">
        <f>TEXT(VLOOKUP(WEEKDAY($H247),Data!$C$10:$D$16,2,FALSE),"G/표준;;")</f>
        <v>재활용(밤)</v>
      </c>
      <c r="Q247" s="68" t="s">
        <v>37</v>
      </c>
    </row>
    <row r="248" spans="6:17">
      <c r="F248" s="64">
        <v>247</v>
      </c>
      <c r="G248" s="65">
        <f t="shared" si="7"/>
        <v>44077</v>
      </c>
      <c r="H248" s="66">
        <f t="shared" si="6"/>
        <v>44077</v>
      </c>
      <c r="P248" s="132" t="str">
        <f>TEXT(VLOOKUP(WEEKDAY($H248),Data!$C$10:$D$16,2,FALSE),"G/표준;;")</f>
        <v>일반(밤)</v>
      </c>
      <c r="Q248" s="68" t="s">
        <v>37</v>
      </c>
    </row>
    <row r="249" spans="6:17">
      <c r="F249" s="64">
        <v>248</v>
      </c>
      <c r="G249" s="65">
        <f t="shared" si="7"/>
        <v>44078</v>
      </c>
      <c r="H249" s="66">
        <f t="shared" si="6"/>
        <v>44078</v>
      </c>
      <c r="P249" s="132" t="str">
        <f>TEXT(VLOOKUP(WEEKDAY($H249),Data!$C$10:$D$16,2,FALSE),"G/표준;;")</f>
        <v>먼지 소독</v>
      </c>
      <c r="Q249" s="68" t="s">
        <v>37</v>
      </c>
    </row>
    <row r="250" spans="6:17">
      <c r="F250" s="64">
        <v>249</v>
      </c>
      <c r="G250" s="65">
        <f t="shared" si="7"/>
        <v>44079</v>
      </c>
      <c r="H250" s="66">
        <f t="shared" si="6"/>
        <v>44079</v>
      </c>
      <c r="P250" s="132" t="str">
        <f>TEXT(VLOOKUP(WEEKDAY($H250),Data!$C$10:$D$16,2,FALSE),"G/표준;;")</f>
        <v>필터교체</v>
      </c>
      <c r="Q250" s="68" t="s">
        <v>37</v>
      </c>
    </row>
    <row r="251" spans="6:17">
      <c r="F251" s="64">
        <v>250</v>
      </c>
      <c r="G251" s="65">
        <f t="shared" si="7"/>
        <v>44080</v>
      </c>
      <c r="H251" s="66">
        <f t="shared" si="6"/>
        <v>44080</v>
      </c>
      <c r="P251" s="132" t="str">
        <f>TEXT(VLOOKUP(WEEKDAY($H251),Data!$C$10:$D$16,2,FALSE),"G/표준;;")</f>
        <v>다림질, 손코</v>
      </c>
      <c r="Q251" s="68" t="s">
        <v>37</v>
      </c>
    </row>
    <row r="252" spans="6:17">
      <c r="F252" s="64">
        <v>251</v>
      </c>
      <c r="G252" s="65">
        <f t="shared" si="7"/>
        <v>44081</v>
      </c>
      <c r="H252" s="66">
        <f t="shared" si="6"/>
        <v>44081</v>
      </c>
      <c r="P252" s="132" t="str">
        <f>TEXT(VLOOKUP(WEEKDAY($H252),Data!$C$10:$D$16,2,FALSE),"G/표준;;")</f>
        <v>일반(밤)</v>
      </c>
      <c r="Q252" s="68" t="s">
        <v>37</v>
      </c>
    </row>
    <row r="253" spans="6:17">
      <c r="F253" s="64">
        <v>252</v>
      </c>
      <c r="G253" s="65">
        <f t="shared" si="7"/>
        <v>44082</v>
      </c>
      <c r="H253" s="66">
        <f t="shared" si="6"/>
        <v>44082</v>
      </c>
      <c r="P253" s="132" t="str">
        <f>TEXT(VLOOKUP(WEEKDAY($H253),Data!$C$10:$D$16,2,FALSE),"G/표준;;")</f>
        <v>노트북</v>
      </c>
      <c r="Q253" s="68" t="s">
        <v>37</v>
      </c>
    </row>
    <row r="254" spans="6:17">
      <c r="F254" s="64">
        <v>253</v>
      </c>
      <c r="G254" s="65">
        <f t="shared" ref="G254:G259" si="8">G253+1</f>
        <v>44083</v>
      </c>
      <c r="H254" s="66">
        <f t="shared" si="6"/>
        <v>44083</v>
      </c>
      <c r="P254" s="132" t="str">
        <f>TEXT(VLOOKUP(WEEKDAY($H254),Data!$C$10:$D$16,2,FALSE),"G/표준;;")</f>
        <v>재활용(밤)</v>
      </c>
      <c r="Q254" s="68" t="s">
        <v>37</v>
      </c>
    </row>
    <row r="255" spans="6:17">
      <c r="F255" s="64">
        <v>254</v>
      </c>
      <c r="G255" s="65">
        <f t="shared" si="8"/>
        <v>44084</v>
      </c>
      <c r="H255" s="66">
        <f t="shared" si="6"/>
        <v>44084</v>
      </c>
      <c r="P255" s="132" t="str">
        <f>TEXT(VLOOKUP(WEEKDAY($H255),Data!$C$10:$D$16,2,FALSE),"G/표준;;")</f>
        <v>일반(밤)</v>
      </c>
      <c r="Q255" s="68" t="s">
        <v>37</v>
      </c>
    </row>
    <row r="256" spans="6:17">
      <c r="F256" s="64">
        <v>255</v>
      </c>
      <c r="G256" s="65">
        <f t="shared" si="8"/>
        <v>44085</v>
      </c>
      <c r="H256" s="66">
        <f t="shared" si="6"/>
        <v>44085</v>
      </c>
      <c r="P256" s="132" t="str">
        <f>TEXT(VLOOKUP(WEEKDAY($H256),Data!$C$10:$D$16,2,FALSE),"G/표준;;")</f>
        <v>먼지 소독</v>
      </c>
      <c r="Q256" s="68" t="s">
        <v>37</v>
      </c>
    </row>
    <row r="257" spans="6:17">
      <c r="F257" s="64">
        <v>256</v>
      </c>
      <c r="G257" s="65">
        <f t="shared" si="8"/>
        <v>44086</v>
      </c>
      <c r="H257" s="66">
        <f t="shared" si="6"/>
        <v>44086</v>
      </c>
      <c r="P257" s="132" t="str">
        <f>TEXT(VLOOKUP(WEEKDAY($H257),Data!$C$10:$D$16,2,FALSE),"G/표준;;")</f>
        <v>필터교체</v>
      </c>
      <c r="Q257" s="68" t="s">
        <v>37</v>
      </c>
    </row>
    <row r="258" spans="6:17">
      <c r="F258" s="64">
        <v>257</v>
      </c>
      <c r="G258" s="65">
        <f t="shared" si="8"/>
        <v>44087</v>
      </c>
      <c r="H258" s="66">
        <f t="shared" si="6"/>
        <v>44087</v>
      </c>
      <c r="P258" s="132" t="str">
        <f>TEXT(VLOOKUP(WEEKDAY($H258),Data!$C$10:$D$16,2,FALSE),"G/표준;;")</f>
        <v>다림질, 손코</v>
      </c>
      <c r="Q258" s="68" t="s">
        <v>37</v>
      </c>
    </row>
    <row r="259" spans="6:17">
      <c r="F259" s="64">
        <v>258</v>
      </c>
      <c r="G259" s="65">
        <f t="shared" si="8"/>
        <v>44088</v>
      </c>
      <c r="H259" s="66">
        <f t="shared" ref="H259:H322" si="9">G259</f>
        <v>44088</v>
      </c>
      <c r="P259" s="132" t="str">
        <f>TEXT(VLOOKUP(WEEKDAY($H259),Data!$C$10:$D$16,2,FALSE),"G/표준;;")</f>
        <v>일반(밤)</v>
      </c>
      <c r="Q259" s="68" t="s">
        <v>37</v>
      </c>
    </row>
    <row r="260" spans="6:17">
      <c r="F260" s="64">
        <v>259</v>
      </c>
      <c r="G260" s="65">
        <f t="shared" ref="G260:G323" si="10">G259+1</f>
        <v>44089</v>
      </c>
      <c r="H260" s="66">
        <f t="shared" si="9"/>
        <v>44089</v>
      </c>
      <c r="P260" s="132" t="str">
        <f>TEXT(VLOOKUP(WEEKDAY($H260),Data!$C$10:$D$16,2,FALSE),"G/표준;;")</f>
        <v>노트북</v>
      </c>
      <c r="Q260" s="68" t="s">
        <v>37</v>
      </c>
    </row>
    <row r="261" spans="6:17">
      <c r="F261" s="64">
        <v>260</v>
      </c>
      <c r="G261" s="65">
        <f t="shared" si="10"/>
        <v>44090</v>
      </c>
      <c r="H261" s="66">
        <f t="shared" si="9"/>
        <v>44090</v>
      </c>
      <c r="P261" s="132" t="str">
        <f>TEXT(VLOOKUP(WEEKDAY($H261),Data!$C$10:$D$16,2,FALSE),"G/표준;;")</f>
        <v>재활용(밤)</v>
      </c>
      <c r="Q261" s="68" t="s">
        <v>37</v>
      </c>
    </row>
    <row r="262" spans="6:17">
      <c r="F262" s="64">
        <v>261</v>
      </c>
      <c r="G262" s="65">
        <f t="shared" si="10"/>
        <v>44091</v>
      </c>
      <c r="H262" s="66">
        <f t="shared" si="9"/>
        <v>44091</v>
      </c>
      <c r="P262" s="132" t="str">
        <f>TEXT(VLOOKUP(WEEKDAY($H262),Data!$C$10:$D$16,2,FALSE),"G/표준;;")</f>
        <v>일반(밤)</v>
      </c>
      <c r="Q262" s="68" t="s">
        <v>37</v>
      </c>
    </row>
    <row r="263" spans="6:17">
      <c r="F263" s="64">
        <v>262</v>
      </c>
      <c r="G263" s="65">
        <f t="shared" si="10"/>
        <v>44092</v>
      </c>
      <c r="H263" s="66">
        <f t="shared" si="9"/>
        <v>44092</v>
      </c>
      <c r="P263" s="132" t="str">
        <f>TEXT(VLOOKUP(WEEKDAY($H263),Data!$C$10:$D$16,2,FALSE),"G/표준;;")</f>
        <v>먼지 소독</v>
      </c>
      <c r="Q263" s="68" t="s">
        <v>37</v>
      </c>
    </row>
    <row r="264" spans="6:17">
      <c r="F264" s="64">
        <v>263</v>
      </c>
      <c r="G264" s="65">
        <f t="shared" si="10"/>
        <v>44093</v>
      </c>
      <c r="H264" s="66">
        <f t="shared" si="9"/>
        <v>44093</v>
      </c>
      <c r="P264" s="132" t="str">
        <f>TEXT(VLOOKUP(WEEKDAY($H264),Data!$C$10:$D$16,2,FALSE),"G/표준;;")</f>
        <v>필터교체</v>
      </c>
      <c r="Q264" s="68" t="s">
        <v>37</v>
      </c>
    </row>
    <row r="265" spans="6:17">
      <c r="F265" s="64">
        <v>264</v>
      </c>
      <c r="G265" s="65">
        <f t="shared" si="10"/>
        <v>44094</v>
      </c>
      <c r="H265" s="66">
        <f t="shared" si="9"/>
        <v>44094</v>
      </c>
      <c r="P265" s="132" t="str">
        <f>TEXT(VLOOKUP(WEEKDAY($H265),Data!$C$10:$D$16,2,FALSE),"G/표준;;")</f>
        <v>다림질, 손코</v>
      </c>
      <c r="Q265" s="68" t="s">
        <v>37</v>
      </c>
    </row>
    <row r="266" spans="6:17">
      <c r="F266" s="64">
        <v>265</v>
      </c>
      <c r="G266" s="65">
        <f t="shared" si="10"/>
        <v>44095</v>
      </c>
      <c r="H266" s="66">
        <f t="shared" si="9"/>
        <v>44095</v>
      </c>
      <c r="P266" s="132" t="str">
        <f>TEXT(VLOOKUP(WEEKDAY($H266),Data!$C$10:$D$16,2,FALSE),"G/표준;;")</f>
        <v>일반(밤)</v>
      </c>
      <c r="Q266" s="68" t="s">
        <v>37</v>
      </c>
    </row>
    <row r="267" spans="6:17">
      <c r="F267" s="64">
        <v>266</v>
      </c>
      <c r="G267" s="65">
        <f t="shared" si="10"/>
        <v>44096</v>
      </c>
      <c r="H267" s="66">
        <f t="shared" si="9"/>
        <v>44096</v>
      </c>
      <c r="P267" s="132" t="str">
        <f>TEXT(VLOOKUP(WEEKDAY($H267),Data!$C$10:$D$16,2,FALSE),"G/표준;;")</f>
        <v>노트북</v>
      </c>
      <c r="Q267" s="68" t="s">
        <v>37</v>
      </c>
    </row>
    <row r="268" spans="6:17">
      <c r="F268" s="64">
        <v>267</v>
      </c>
      <c r="G268" s="65">
        <f t="shared" si="10"/>
        <v>44097</v>
      </c>
      <c r="H268" s="66">
        <f t="shared" si="9"/>
        <v>44097</v>
      </c>
      <c r="P268" s="132" t="str">
        <f>TEXT(VLOOKUP(WEEKDAY($H268),Data!$C$10:$D$16,2,FALSE),"G/표준;;")</f>
        <v>재활용(밤)</v>
      </c>
      <c r="Q268" s="68" t="s">
        <v>37</v>
      </c>
    </row>
    <row r="269" spans="6:17">
      <c r="F269" s="64">
        <v>268</v>
      </c>
      <c r="G269" s="65">
        <f t="shared" si="10"/>
        <v>44098</v>
      </c>
      <c r="H269" s="66">
        <f t="shared" si="9"/>
        <v>44098</v>
      </c>
      <c r="P269" s="132" t="str">
        <f>TEXT(VLOOKUP(WEEKDAY($H269),Data!$C$10:$D$16,2,FALSE),"G/표준;;")</f>
        <v>일반(밤)</v>
      </c>
      <c r="Q269" s="68" t="s">
        <v>37</v>
      </c>
    </row>
    <row r="270" spans="6:17">
      <c r="F270" s="64">
        <v>269</v>
      </c>
      <c r="G270" s="65">
        <f t="shared" si="10"/>
        <v>44099</v>
      </c>
      <c r="H270" s="66">
        <f t="shared" si="9"/>
        <v>44099</v>
      </c>
      <c r="P270" s="132" t="str">
        <f>TEXT(VLOOKUP(WEEKDAY($H270),Data!$C$10:$D$16,2,FALSE),"G/표준;;")</f>
        <v>먼지 소독</v>
      </c>
      <c r="Q270" s="68" t="s">
        <v>37</v>
      </c>
    </row>
    <row r="271" spans="6:17">
      <c r="F271" s="64">
        <v>270</v>
      </c>
      <c r="G271" s="65">
        <f t="shared" si="10"/>
        <v>44100</v>
      </c>
      <c r="H271" s="66">
        <f t="shared" si="9"/>
        <v>44100</v>
      </c>
      <c r="P271" s="132" t="str">
        <f>TEXT(VLOOKUP(WEEKDAY($H271),Data!$C$10:$D$16,2,FALSE),"G/표준;;")</f>
        <v>필터교체</v>
      </c>
      <c r="Q271" s="68" t="s">
        <v>37</v>
      </c>
    </row>
    <row r="272" spans="6:17">
      <c r="F272" s="64">
        <v>271</v>
      </c>
      <c r="G272" s="65">
        <f t="shared" si="10"/>
        <v>44101</v>
      </c>
      <c r="H272" s="66">
        <f t="shared" si="9"/>
        <v>44101</v>
      </c>
      <c r="P272" s="132" t="str">
        <f>TEXT(VLOOKUP(WEEKDAY($H272),Data!$C$10:$D$16,2,FALSE),"G/표준;;")</f>
        <v>다림질, 손코</v>
      </c>
      <c r="Q272" s="68" t="s">
        <v>37</v>
      </c>
    </row>
    <row r="273" spans="6:17">
      <c r="F273" s="64">
        <v>272</v>
      </c>
      <c r="G273" s="65">
        <f t="shared" si="10"/>
        <v>44102</v>
      </c>
      <c r="H273" s="66">
        <f t="shared" si="9"/>
        <v>44102</v>
      </c>
      <c r="K273" s="104"/>
      <c r="P273" s="132" t="str">
        <f>TEXT(VLOOKUP(WEEKDAY($H273),Data!$C$10:$D$16,2,FALSE),"G/표준;;")</f>
        <v>일반(밤)</v>
      </c>
      <c r="Q273" s="68" t="s">
        <v>37</v>
      </c>
    </row>
    <row r="274" spans="6:17">
      <c r="F274" s="64">
        <v>273</v>
      </c>
      <c r="G274" s="65">
        <f t="shared" si="10"/>
        <v>44103</v>
      </c>
      <c r="H274" s="66">
        <f t="shared" si="9"/>
        <v>44103</v>
      </c>
      <c r="K274" s="105"/>
      <c r="L274" s="106"/>
      <c r="N274" s="70"/>
      <c r="P274" s="132" t="str">
        <f>TEXT(VLOOKUP(WEEKDAY($H274),Data!$C$10:$D$16,2,FALSE),"G/표준;;")</f>
        <v>노트북</v>
      </c>
      <c r="Q274" s="68" t="s">
        <v>37</v>
      </c>
    </row>
    <row r="275" spans="6:17">
      <c r="F275" s="64">
        <v>274</v>
      </c>
      <c r="G275" s="65">
        <f t="shared" si="10"/>
        <v>44104</v>
      </c>
      <c r="H275" s="66">
        <f t="shared" si="9"/>
        <v>44104</v>
      </c>
      <c r="I275" s="111" t="s">
        <v>216</v>
      </c>
      <c r="J275" s="111" t="s">
        <v>217</v>
      </c>
      <c r="K275" s="104" t="s">
        <v>218</v>
      </c>
      <c r="L275" s="112" t="s">
        <v>219</v>
      </c>
      <c r="M275" s="112" t="s">
        <v>36</v>
      </c>
      <c r="P275" s="132" t="str">
        <f>TEXT(VLOOKUP(WEEKDAY($H275),Data!$C$10:$D$16,2,FALSE),"G/표준;;")</f>
        <v>재활용(밤)</v>
      </c>
      <c r="Q275" s="68" t="s">
        <v>37</v>
      </c>
    </row>
    <row r="276" spans="6:17">
      <c r="F276" s="64">
        <v>275</v>
      </c>
      <c r="G276" s="65">
        <f t="shared" si="10"/>
        <v>44105</v>
      </c>
      <c r="H276" s="66">
        <f t="shared" si="9"/>
        <v>44105</v>
      </c>
      <c r="I276" s="104" t="s">
        <v>220</v>
      </c>
      <c r="J276" s="104" t="s">
        <v>36</v>
      </c>
      <c r="P276" s="132" t="str">
        <f>TEXT(VLOOKUP(WEEKDAY($H276),Data!$C$10:$D$16,2,FALSE),"G/표준;;")</f>
        <v>일반(밤)</v>
      </c>
      <c r="Q276" s="68" t="s">
        <v>37</v>
      </c>
    </row>
    <row r="277" spans="6:17">
      <c r="F277" s="64">
        <v>276</v>
      </c>
      <c r="G277" s="65">
        <f t="shared" si="10"/>
        <v>44106</v>
      </c>
      <c r="H277" s="66">
        <f t="shared" si="9"/>
        <v>44106</v>
      </c>
      <c r="N277" s="110"/>
      <c r="P277" s="132" t="str">
        <f>TEXT(VLOOKUP(WEEKDAY($H277),Data!$C$10:$D$16,2,FALSE),"G/표준;;")</f>
        <v>먼지 소독</v>
      </c>
      <c r="Q277" s="68" t="s">
        <v>37</v>
      </c>
    </row>
    <row r="278" spans="6:17">
      <c r="F278" s="64">
        <v>277</v>
      </c>
      <c r="G278" s="65">
        <f t="shared" si="10"/>
        <v>44107</v>
      </c>
      <c r="H278" s="66">
        <f t="shared" si="9"/>
        <v>44107</v>
      </c>
      <c r="I278" s="96"/>
      <c r="J278" s="95"/>
      <c r="O278" s="95"/>
      <c r="P278" s="132" t="str">
        <f>TEXT(VLOOKUP(WEEKDAY($H278),Data!$C$10:$D$16,2,FALSE),"G/표준;;")</f>
        <v>필터교체</v>
      </c>
      <c r="Q278" s="68" t="s">
        <v>37</v>
      </c>
    </row>
    <row r="279" spans="6:17">
      <c r="F279" s="64">
        <v>278</v>
      </c>
      <c r="G279" s="65">
        <f t="shared" si="10"/>
        <v>44108</v>
      </c>
      <c r="H279" s="66">
        <f t="shared" si="9"/>
        <v>44108</v>
      </c>
      <c r="I279" s="99" t="s">
        <v>92</v>
      </c>
      <c r="J279" s="101" t="s">
        <v>93</v>
      </c>
      <c r="K279" s="72" t="s">
        <v>36</v>
      </c>
      <c r="O279" s="74" t="s">
        <v>115</v>
      </c>
      <c r="P279" s="132" t="str">
        <f>TEXT(VLOOKUP(WEEKDAY($H279),Data!$C$10:$D$16,2,FALSE),"G/표준;;")</f>
        <v>다림질, 손코</v>
      </c>
      <c r="Q279" s="68" t="s">
        <v>37</v>
      </c>
    </row>
    <row r="280" spans="6:17">
      <c r="F280" s="64">
        <v>279</v>
      </c>
      <c r="G280" s="65">
        <f t="shared" si="10"/>
        <v>44109</v>
      </c>
      <c r="H280" s="66">
        <f t="shared" si="9"/>
        <v>44109</v>
      </c>
      <c r="I280" s="95" t="s">
        <v>221</v>
      </c>
      <c r="J280" s="102" t="s">
        <v>222</v>
      </c>
      <c r="K280" s="117" t="s">
        <v>223</v>
      </c>
      <c r="L280" s="113" t="s">
        <v>224</v>
      </c>
      <c r="M280" s="72" t="s">
        <v>225</v>
      </c>
      <c r="N280" s="95" t="s">
        <v>226</v>
      </c>
      <c r="O280" s="74" t="s">
        <v>115</v>
      </c>
      <c r="P280" s="132" t="str">
        <f>TEXT(VLOOKUP(WEEKDAY($H280),Data!$C$10:$D$16,2,FALSE),"G/표준;;")</f>
        <v>일반(밤)</v>
      </c>
      <c r="Q280" s="68" t="s">
        <v>37</v>
      </c>
    </row>
    <row r="281" spans="6:17">
      <c r="F281" s="64">
        <v>280</v>
      </c>
      <c r="G281" s="65">
        <f t="shared" si="10"/>
        <v>44110</v>
      </c>
      <c r="H281" s="66">
        <f t="shared" si="9"/>
        <v>44110</v>
      </c>
      <c r="I281" s="101" t="s">
        <v>94</v>
      </c>
      <c r="J281" s="114" t="s">
        <v>227</v>
      </c>
      <c r="K281" s="115" t="s">
        <v>209</v>
      </c>
      <c r="L281" s="116" t="s">
        <v>228</v>
      </c>
      <c r="M281" s="70" t="s">
        <v>36</v>
      </c>
      <c r="O281" s="74" t="s">
        <v>115</v>
      </c>
      <c r="P281" s="132" t="str">
        <f>TEXT(VLOOKUP(WEEKDAY($H281),Data!$C$10:$D$16,2,FALSE),"G/표준;;")</f>
        <v>노트북</v>
      </c>
      <c r="Q281" s="68" t="s">
        <v>37</v>
      </c>
    </row>
    <row r="282" spans="6:17">
      <c r="F282" s="64">
        <v>281</v>
      </c>
      <c r="G282" s="65">
        <f t="shared" si="10"/>
        <v>44111</v>
      </c>
      <c r="H282" s="66">
        <f t="shared" si="9"/>
        <v>44111</v>
      </c>
      <c r="I282" s="118" t="s">
        <v>229</v>
      </c>
      <c r="J282" s="117" t="s">
        <v>230</v>
      </c>
      <c r="K282" s="70" t="s">
        <v>36</v>
      </c>
      <c r="M282" s="72"/>
      <c r="N282" s="74" t="s">
        <v>113</v>
      </c>
      <c r="O282" s="74" t="s">
        <v>115</v>
      </c>
      <c r="P282" s="132" t="str">
        <f>TEXT(VLOOKUP(WEEKDAY($H282),Data!$C$10:$D$16,2,FALSE),"G/표준;;")</f>
        <v>재활용(밤)</v>
      </c>
      <c r="Q282" s="68" t="s">
        <v>37</v>
      </c>
    </row>
    <row r="283" spans="6:17">
      <c r="F283" s="64">
        <v>282</v>
      </c>
      <c r="G283" s="65">
        <f t="shared" si="10"/>
        <v>44112</v>
      </c>
      <c r="H283" s="66">
        <f t="shared" si="9"/>
        <v>44112</v>
      </c>
      <c r="I283" s="73" t="s">
        <v>120</v>
      </c>
      <c r="J283" s="115" t="s">
        <v>36</v>
      </c>
      <c r="K283" s="73"/>
      <c r="L283" s="73"/>
      <c r="M283" s="72"/>
      <c r="N283" s="74" t="s">
        <v>113</v>
      </c>
      <c r="O283" s="74" t="s">
        <v>118</v>
      </c>
      <c r="P283" s="132" t="str">
        <f>TEXT(VLOOKUP(WEEKDAY($H283),Data!$C$10:$D$16,2,FALSE),"G/표준;;")</f>
        <v>일반(밤)</v>
      </c>
      <c r="Q283" s="68" t="s">
        <v>37</v>
      </c>
    </row>
    <row r="284" spans="6:17">
      <c r="F284" s="64">
        <v>283</v>
      </c>
      <c r="G284" s="65">
        <f t="shared" si="10"/>
        <v>44113</v>
      </c>
      <c r="H284" s="66">
        <f t="shared" si="9"/>
        <v>44113</v>
      </c>
      <c r="I284" s="119" t="s">
        <v>231</v>
      </c>
      <c r="J284" s="70" t="s">
        <v>36</v>
      </c>
      <c r="K284" s="102"/>
      <c r="L284" s="73"/>
      <c r="M284" s="72"/>
      <c r="N284" s="100" t="s">
        <v>114</v>
      </c>
      <c r="O284" s="70" t="s">
        <v>36</v>
      </c>
      <c r="P284" s="132" t="str">
        <f>TEXT(VLOOKUP(WEEKDAY($H284),Data!$C$10:$D$16,2,FALSE),"G/표준;;")</f>
        <v>먼지 소독</v>
      </c>
      <c r="Q284" s="68" t="s">
        <v>37</v>
      </c>
    </row>
    <row r="285" spans="6:17">
      <c r="F285" s="64">
        <v>284</v>
      </c>
      <c r="G285" s="65">
        <f t="shared" si="10"/>
        <v>44114</v>
      </c>
      <c r="H285" s="66">
        <f t="shared" si="9"/>
        <v>44114</v>
      </c>
      <c r="I285" s="95" t="s">
        <v>232</v>
      </c>
      <c r="J285" s="70" t="s">
        <v>36</v>
      </c>
      <c r="K285" s="100" t="s">
        <v>95</v>
      </c>
      <c r="L285" s="72" t="s">
        <v>36</v>
      </c>
      <c r="M285" s="72"/>
      <c r="N285" s="100" t="s">
        <v>114</v>
      </c>
      <c r="O285" s="118" t="s">
        <v>233</v>
      </c>
      <c r="P285" s="132" t="str">
        <f>TEXT(VLOOKUP(WEEKDAY($H285),Data!$C$10:$D$16,2,FALSE),"G/표준;;")</f>
        <v>필터교체</v>
      </c>
      <c r="Q285" s="68" t="s">
        <v>37</v>
      </c>
    </row>
    <row r="286" spans="6:17">
      <c r="F286" s="64">
        <v>285</v>
      </c>
      <c r="G286" s="65">
        <f t="shared" si="10"/>
        <v>44115</v>
      </c>
      <c r="H286" s="66">
        <f t="shared" si="9"/>
        <v>44115</v>
      </c>
      <c r="I286" s="97" t="s">
        <v>96</v>
      </c>
      <c r="J286" s="97" t="s">
        <v>97</v>
      </c>
      <c r="K286" s="115" t="s">
        <v>234</v>
      </c>
      <c r="L286" s="73" t="s">
        <v>36</v>
      </c>
      <c r="M286" s="72"/>
      <c r="N286" s="100" t="s">
        <v>114</v>
      </c>
      <c r="O286" s="74" t="s">
        <v>122</v>
      </c>
      <c r="P286" s="132" t="str">
        <f>TEXT(VLOOKUP(WEEKDAY($H286),Data!$C$10:$D$16,2,FALSE),"G/표준;;")</f>
        <v>다림질, 손코</v>
      </c>
      <c r="Q286" s="68" t="s">
        <v>37</v>
      </c>
    </row>
    <row r="287" spans="6:17">
      <c r="F287" s="64">
        <v>286</v>
      </c>
      <c r="G287" s="65">
        <f t="shared" si="10"/>
        <v>44116</v>
      </c>
      <c r="H287" s="66">
        <f t="shared" si="9"/>
        <v>44116</v>
      </c>
      <c r="I287" s="102" t="s">
        <v>98</v>
      </c>
      <c r="J287" s="73"/>
      <c r="K287" s="73"/>
      <c r="L287" s="73"/>
      <c r="M287" s="72"/>
      <c r="N287" s="100" t="s">
        <v>116</v>
      </c>
      <c r="O287" s="74" t="s">
        <v>122</v>
      </c>
      <c r="P287" s="132" t="str">
        <f>TEXT(VLOOKUP(WEEKDAY($H287),Data!$C$10:$D$16,2,FALSE),"G/표준;;")</f>
        <v>일반(밤)</v>
      </c>
      <c r="Q287" s="68" t="s">
        <v>37</v>
      </c>
    </row>
    <row r="288" spans="6:17">
      <c r="F288" s="64">
        <v>287</v>
      </c>
      <c r="G288" s="65">
        <f t="shared" si="10"/>
        <v>44117</v>
      </c>
      <c r="H288" s="66">
        <f t="shared" si="9"/>
        <v>44117</v>
      </c>
      <c r="K288" s="73"/>
      <c r="L288" s="73"/>
      <c r="M288" s="72"/>
      <c r="N288" s="100" t="s">
        <v>117</v>
      </c>
      <c r="O288" s="74" t="s">
        <v>122</v>
      </c>
      <c r="P288" s="132" t="str">
        <f>TEXT(VLOOKUP(WEEKDAY($H288),Data!$C$10:$D$16,2,FALSE),"G/표준;;")</f>
        <v>노트북</v>
      </c>
      <c r="Q288" s="68" t="s">
        <v>37</v>
      </c>
    </row>
    <row r="289" spans="6:17">
      <c r="F289" s="64">
        <v>288</v>
      </c>
      <c r="G289" s="65">
        <f t="shared" si="10"/>
        <v>44118</v>
      </c>
      <c r="H289" s="66">
        <f t="shared" si="9"/>
        <v>44118</v>
      </c>
      <c r="I289" s="72" t="s">
        <v>38</v>
      </c>
      <c r="J289" s="73" t="s">
        <v>36</v>
      </c>
      <c r="K289" s="73" t="s">
        <v>235</v>
      </c>
      <c r="L289" s="73"/>
      <c r="M289" s="72"/>
      <c r="N289" s="100" t="s">
        <v>119</v>
      </c>
      <c r="O289" s="74" t="s">
        <v>122</v>
      </c>
      <c r="P289" s="132" t="str">
        <f>TEXT(VLOOKUP(WEEKDAY($H289),Data!$C$10:$D$16,2,FALSE),"G/표준;;")</f>
        <v>재활용(밤)</v>
      </c>
      <c r="Q289" s="68" t="s">
        <v>37</v>
      </c>
    </row>
    <row r="290" spans="6:17">
      <c r="F290" s="64">
        <v>289</v>
      </c>
      <c r="G290" s="65">
        <f t="shared" si="10"/>
        <v>44119</v>
      </c>
      <c r="H290" s="66">
        <f t="shared" si="9"/>
        <v>44119</v>
      </c>
      <c r="I290" s="98" t="s">
        <v>99</v>
      </c>
      <c r="J290" s="74" t="s">
        <v>36</v>
      </c>
      <c r="K290" s="72"/>
      <c r="L290" s="73"/>
      <c r="M290" s="72"/>
      <c r="N290" s="100" t="s">
        <v>121</v>
      </c>
      <c r="O290" s="74" t="s">
        <v>122</v>
      </c>
      <c r="P290" s="132" t="str">
        <f>TEXT(VLOOKUP(WEEKDAY($H290),Data!$C$10:$D$16,2,FALSE),"G/표준;;")</f>
        <v>일반(밤)</v>
      </c>
      <c r="Q290" s="68" t="s">
        <v>37</v>
      </c>
    </row>
    <row r="291" spans="6:17">
      <c r="F291" s="64">
        <v>290</v>
      </c>
      <c r="G291" s="65">
        <f t="shared" si="10"/>
        <v>44120</v>
      </c>
      <c r="H291" s="66">
        <f t="shared" si="9"/>
        <v>44120</v>
      </c>
      <c r="I291" s="117" t="s">
        <v>236</v>
      </c>
      <c r="J291" s="103" t="s">
        <v>132</v>
      </c>
      <c r="K291" s="70" t="s">
        <v>36</v>
      </c>
      <c r="L291" s="73"/>
      <c r="M291" s="72"/>
      <c r="N291" s="100" t="s">
        <v>123</v>
      </c>
      <c r="O291" s="74" t="s">
        <v>128</v>
      </c>
      <c r="P291" s="132" t="str">
        <f>TEXT(VLOOKUP(WEEKDAY($H291),Data!$C$10:$D$16,2,FALSE),"G/표준;;")</f>
        <v>먼지 소독</v>
      </c>
      <c r="Q291" s="68" t="s">
        <v>37</v>
      </c>
    </row>
    <row r="292" spans="6:17">
      <c r="F292" s="64">
        <v>291</v>
      </c>
      <c r="G292" s="65">
        <f t="shared" si="10"/>
        <v>44121</v>
      </c>
      <c r="H292" s="66">
        <f t="shared" si="9"/>
        <v>44121</v>
      </c>
      <c r="I292" s="96" t="s">
        <v>100</v>
      </c>
      <c r="J292" s="70" t="s">
        <v>36</v>
      </c>
      <c r="K292" s="72" t="s">
        <v>235</v>
      </c>
      <c r="L292" s="73"/>
      <c r="M292" s="72"/>
      <c r="N292" s="100" t="s">
        <v>124</v>
      </c>
      <c r="O292" s="74" t="s">
        <v>131</v>
      </c>
      <c r="P292" s="132" t="str">
        <f>TEXT(VLOOKUP(WEEKDAY($H292),Data!$C$10:$D$16,2,FALSE),"G/표준;;")</f>
        <v>필터교체</v>
      </c>
      <c r="Q292" s="68" t="s">
        <v>37</v>
      </c>
    </row>
    <row r="293" spans="6:17">
      <c r="F293" s="64">
        <v>292</v>
      </c>
      <c r="G293" s="65">
        <f t="shared" si="10"/>
        <v>44122</v>
      </c>
      <c r="H293" s="66">
        <f t="shared" si="9"/>
        <v>44122</v>
      </c>
      <c r="I293" s="114" t="s">
        <v>238</v>
      </c>
      <c r="J293" s="97" t="s">
        <v>101</v>
      </c>
      <c r="K293" s="73" t="s">
        <v>36</v>
      </c>
      <c r="L293" s="73"/>
      <c r="M293" s="72"/>
      <c r="N293" s="100" t="s">
        <v>125</v>
      </c>
      <c r="O293" s="70" t="s">
        <v>37</v>
      </c>
      <c r="P293" s="132" t="str">
        <f>TEXT(VLOOKUP(WEEKDAY($H293),Data!$C$10:$D$16,2,FALSE),"G/표준;;")</f>
        <v>다림질, 손코</v>
      </c>
      <c r="Q293" s="68" t="s">
        <v>37</v>
      </c>
    </row>
    <row r="294" spans="6:17">
      <c r="F294" s="64">
        <v>293</v>
      </c>
      <c r="G294" s="65">
        <f t="shared" si="10"/>
        <v>44123</v>
      </c>
      <c r="H294" s="66">
        <f t="shared" si="9"/>
        <v>44123</v>
      </c>
      <c r="I294" s="73"/>
      <c r="J294" s="73"/>
      <c r="K294" s="73"/>
      <c r="L294" s="73"/>
      <c r="M294" s="72"/>
      <c r="N294" s="100" t="s">
        <v>126</v>
      </c>
      <c r="O294" s="70" t="s">
        <v>37</v>
      </c>
      <c r="P294" s="132" t="str">
        <f>TEXT(VLOOKUP(WEEKDAY($H294),Data!$C$10:$D$16,2,FALSE),"G/표준;;")</f>
        <v>일반(밤)</v>
      </c>
      <c r="Q294" s="68" t="s">
        <v>37</v>
      </c>
    </row>
    <row r="295" spans="6:17">
      <c r="F295" s="64">
        <v>294</v>
      </c>
      <c r="G295" s="65">
        <f t="shared" si="10"/>
        <v>44124</v>
      </c>
      <c r="H295" s="66">
        <f t="shared" si="9"/>
        <v>44124</v>
      </c>
      <c r="I295" s="72" t="s">
        <v>38</v>
      </c>
      <c r="J295" s="73" t="s">
        <v>36</v>
      </c>
      <c r="K295" s="73"/>
      <c r="L295" s="73"/>
      <c r="M295" s="72"/>
      <c r="N295" s="100" t="s">
        <v>127</v>
      </c>
      <c r="O295" s="70" t="s">
        <v>37</v>
      </c>
      <c r="P295" s="132" t="str">
        <f>TEXT(VLOOKUP(WEEKDAY($H295),Data!$C$10:$D$16,2,FALSE),"G/표준;;")</f>
        <v>노트북</v>
      </c>
      <c r="Q295" s="68" t="s">
        <v>37</v>
      </c>
    </row>
    <row r="296" spans="6:17">
      <c r="F296" s="64">
        <v>295</v>
      </c>
      <c r="G296" s="65">
        <f t="shared" si="10"/>
        <v>44125</v>
      </c>
      <c r="H296" s="66">
        <f t="shared" si="9"/>
        <v>44125</v>
      </c>
      <c r="I296" s="73"/>
      <c r="J296" s="73"/>
      <c r="K296" s="73" t="s">
        <v>235</v>
      </c>
      <c r="L296" s="73"/>
      <c r="M296" s="72"/>
      <c r="N296" s="100" t="s">
        <v>129</v>
      </c>
      <c r="O296" s="70" t="s">
        <v>137</v>
      </c>
      <c r="P296" s="132" t="str">
        <f>TEXT(VLOOKUP(WEEKDAY($H296),Data!$C$10:$D$16,2,FALSE),"G/표준;;")</f>
        <v>재활용(밤)</v>
      </c>
      <c r="Q296" s="68" t="s">
        <v>37</v>
      </c>
    </row>
    <row r="297" spans="6:17">
      <c r="F297" s="64">
        <v>296</v>
      </c>
      <c r="G297" s="65">
        <f t="shared" si="10"/>
        <v>44126</v>
      </c>
      <c r="H297" s="66">
        <f t="shared" si="9"/>
        <v>44126</v>
      </c>
      <c r="I297" s="72"/>
      <c r="J297" s="72"/>
      <c r="K297" s="73"/>
      <c r="L297" s="73"/>
      <c r="M297" s="72"/>
      <c r="N297" s="100" t="s">
        <v>130</v>
      </c>
      <c r="O297" s="70" t="s">
        <v>37</v>
      </c>
      <c r="P297" s="132" t="str">
        <f>TEXT(VLOOKUP(WEEKDAY($H297),Data!$C$10:$D$16,2,FALSE),"G/표준;;")</f>
        <v>일반(밤)</v>
      </c>
      <c r="Q297" s="68" t="s">
        <v>37</v>
      </c>
    </row>
    <row r="298" spans="6:17">
      <c r="F298" s="64">
        <v>297</v>
      </c>
      <c r="G298" s="65">
        <f t="shared" si="10"/>
        <v>44127</v>
      </c>
      <c r="H298" s="66">
        <f t="shared" si="9"/>
        <v>44127</v>
      </c>
      <c r="I298" s="73" t="s">
        <v>102</v>
      </c>
      <c r="J298" s="117" t="s">
        <v>237</v>
      </c>
      <c r="K298" s="73" t="s">
        <v>36</v>
      </c>
      <c r="L298" s="73"/>
      <c r="M298" s="72"/>
      <c r="N298" s="100" t="s">
        <v>133</v>
      </c>
      <c r="O298" s="70" t="s">
        <v>37</v>
      </c>
      <c r="P298" s="132" t="str">
        <f>TEXT(VLOOKUP(WEEKDAY($H298),Data!$C$10:$D$16,2,FALSE),"G/표준;;")</f>
        <v>먼지 소독</v>
      </c>
      <c r="Q298" s="68" t="s">
        <v>37</v>
      </c>
    </row>
    <row r="299" spans="6:17">
      <c r="F299" s="64">
        <v>298</v>
      </c>
      <c r="G299" s="65">
        <f t="shared" si="10"/>
        <v>44128</v>
      </c>
      <c r="H299" s="66">
        <f t="shared" si="9"/>
        <v>44128</v>
      </c>
      <c r="I299" s="73"/>
      <c r="J299" s="99"/>
      <c r="K299" s="72"/>
      <c r="L299" s="73"/>
      <c r="M299" s="72"/>
      <c r="N299" s="100" t="s">
        <v>134</v>
      </c>
      <c r="O299" s="70" t="s">
        <v>37</v>
      </c>
      <c r="P299" s="132" t="str">
        <f>TEXT(VLOOKUP(WEEKDAY($H299),Data!$C$10:$D$16,2,FALSE),"G/표준;;")</f>
        <v>필터교체</v>
      </c>
      <c r="Q299" s="68" t="s">
        <v>37</v>
      </c>
    </row>
    <row r="300" spans="6:17">
      <c r="F300" s="64">
        <v>299</v>
      </c>
      <c r="G300" s="65">
        <f t="shared" si="10"/>
        <v>44129</v>
      </c>
      <c r="H300" s="66">
        <f t="shared" si="9"/>
        <v>44129</v>
      </c>
      <c r="I300" s="73"/>
      <c r="J300" s="97" t="s">
        <v>103</v>
      </c>
      <c r="K300" s="73" t="s">
        <v>36</v>
      </c>
      <c r="L300" s="73"/>
      <c r="M300" s="72"/>
      <c r="N300" s="100" t="s">
        <v>135</v>
      </c>
      <c r="O300" s="70" t="s">
        <v>37</v>
      </c>
      <c r="P300" s="132" t="str">
        <f>TEXT(VLOOKUP(WEEKDAY($H300),Data!$C$10:$D$16,2,FALSE),"G/표준;;")</f>
        <v>다림질, 손코</v>
      </c>
      <c r="Q300" s="68" t="s">
        <v>37</v>
      </c>
    </row>
    <row r="301" spans="6:17">
      <c r="F301" s="64">
        <v>300</v>
      </c>
      <c r="G301" s="65">
        <f t="shared" si="10"/>
        <v>44130</v>
      </c>
      <c r="H301" s="66">
        <f t="shared" si="9"/>
        <v>44130</v>
      </c>
      <c r="I301" s="72"/>
      <c r="J301" s="73"/>
      <c r="K301" s="73" t="s">
        <v>235</v>
      </c>
      <c r="L301" s="73"/>
      <c r="M301" s="73"/>
      <c r="N301" s="100" t="s">
        <v>136</v>
      </c>
      <c r="O301" s="70" t="s">
        <v>37</v>
      </c>
      <c r="P301" s="132" t="str">
        <f>TEXT(VLOOKUP(WEEKDAY($H301),Data!$C$10:$D$16,2,FALSE),"G/표준;;")</f>
        <v>일반(밤)</v>
      </c>
      <c r="Q301" s="68" t="s">
        <v>37</v>
      </c>
    </row>
    <row r="302" spans="6:17">
      <c r="F302" s="64">
        <v>301</v>
      </c>
      <c r="G302" s="65">
        <f t="shared" si="10"/>
        <v>44131</v>
      </c>
      <c r="H302" s="66">
        <f t="shared" si="9"/>
        <v>44131</v>
      </c>
      <c r="I302" s="72"/>
      <c r="J302" s="73"/>
      <c r="K302" s="73"/>
      <c r="L302" s="73"/>
      <c r="M302" s="73"/>
      <c r="N302" s="100" t="s">
        <v>138</v>
      </c>
      <c r="O302" s="70" t="s">
        <v>37</v>
      </c>
      <c r="P302" s="132" t="str">
        <f>TEXT(VLOOKUP(WEEKDAY($H302),Data!$C$10:$D$16,2,FALSE),"G/표준;;")</f>
        <v>노트북</v>
      </c>
      <c r="Q302" s="68" t="s">
        <v>37</v>
      </c>
    </row>
    <row r="303" spans="6:17">
      <c r="F303" s="64">
        <v>302</v>
      </c>
      <c r="G303" s="65">
        <f t="shared" si="10"/>
        <v>44132</v>
      </c>
      <c r="H303" s="66">
        <f t="shared" si="9"/>
        <v>44132</v>
      </c>
      <c r="I303" s="72"/>
      <c r="J303" s="73"/>
      <c r="K303" s="73"/>
      <c r="L303" s="72"/>
      <c r="M303" s="73"/>
      <c r="N303" s="100" t="s">
        <v>139</v>
      </c>
      <c r="O303" s="70" t="s">
        <v>37</v>
      </c>
      <c r="P303" s="132" t="str">
        <f>TEXT(VLOOKUP(WEEKDAY($H303),Data!$C$10:$D$16,2,FALSE),"G/표준;;")</f>
        <v>재활용(밤)</v>
      </c>
      <c r="Q303" s="68" t="s">
        <v>37</v>
      </c>
    </row>
    <row r="304" spans="6:17">
      <c r="F304" s="64">
        <v>303</v>
      </c>
      <c r="G304" s="65">
        <f t="shared" si="10"/>
        <v>44133</v>
      </c>
      <c r="H304" s="66">
        <f t="shared" si="9"/>
        <v>44133</v>
      </c>
      <c r="I304" s="72"/>
      <c r="J304" s="73"/>
      <c r="K304" s="73" t="s">
        <v>235</v>
      </c>
      <c r="L304" s="72"/>
      <c r="M304" s="73"/>
      <c r="N304" s="100" t="s">
        <v>140</v>
      </c>
      <c r="O304" s="70" t="s">
        <v>37</v>
      </c>
      <c r="P304" s="132" t="str">
        <f>TEXT(VLOOKUP(WEEKDAY($H304),Data!$C$10:$D$16,2,FALSE),"G/표준;;")</f>
        <v>일반(밤)</v>
      </c>
      <c r="Q304" s="68" t="s">
        <v>37</v>
      </c>
    </row>
    <row r="305" spans="6:17">
      <c r="F305" s="64">
        <v>304</v>
      </c>
      <c r="G305" s="65">
        <f t="shared" si="10"/>
        <v>44134</v>
      </c>
      <c r="H305" s="66">
        <f t="shared" si="9"/>
        <v>44134</v>
      </c>
      <c r="I305" s="72"/>
      <c r="J305" s="73"/>
      <c r="K305" s="73"/>
      <c r="L305" s="72"/>
      <c r="M305" s="73"/>
      <c r="N305" s="100" t="s">
        <v>141</v>
      </c>
      <c r="O305" s="70" t="s">
        <v>37</v>
      </c>
      <c r="P305" s="132" t="str">
        <f>TEXT(VLOOKUP(WEEKDAY($H305),Data!$C$10:$D$16,2,FALSE),"G/표준;;")</f>
        <v>먼지 소독</v>
      </c>
      <c r="Q305" s="68" t="s">
        <v>37</v>
      </c>
    </row>
    <row r="306" spans="6:17">
      <c r="F306" s="64">
        <v>305</v>
      </c>
      <c r="G306" s="65">
        <f t="shared" si="10"/>
        <v>44135</v>
      </c>
      <c r="H306" s="66">
        <f t="shared" si="9"/>
        <v>44135</v>
      </c>
      <c r="I306" s="73" t="s">
        <v>104</v>
      </c>
      <c r="J306" s="73" t="s">
        <v>36</v>
      </c>
      <c r="K306" s="72"/>
      <c r="L306" s="73"/>
      <c r="M306" s="73"/>
      <c r="N306" s="100" t="s">
        <v>142</v>
      </c>
      <c r="O306" s="70" t="s">
        <v>37</v>
      </c>
      <c r="P306" s="132" t="str">
        <f>TEXT(VLOOKUP(WEEKDAY($H306),Data!$C$10:$D$16,2,FALSE),"G/표준;;")</f>
        <v>필터교체</v>
      </c>
      <c r="Q306" s="68" t="s">
        <v>37</v>
      </c>
    </row>
    <row r="307" spans="6:17">
      <c r="F307" s="64">
        <v>306</v>
      </c>
      <c r="G307" s="65">
        <f t="shared" si="10"/>
        <v>44136</v>
      </c>
      <c r="H307" s="66">
        <f t="shared" si="9"/>
        <v>44136</v>
      </c>
      <c r="I307" s="72" t="s">
        <v>105</v>
      </c>
      <c r="J307" s="96" t="s">
        <v>106</v>
      </c>
      <c r="K307" s="74" t="s">
        <v>107</v>
      </c>
      <c r="L307" s="73" t="s">
        <v>108</v>
      </c>
      <c r="M307" s="72" t="s">
        <v>36</v>
      </c>
      <c r="N307" s="74" t="s">
        <v>143</v>
      </c>
      <c r="O307" s="70" t="s">
        <v>37</v>
      </c>
      <c r="P307" s="132" t="str">
        <f>TEXT(VLOOKUP(WEEKDAY($H307),Data!$C$10:$D$16,2,FALSE),"G/표준;;")</f>
        <v>다림질, 손코</v>
      </c>
      <c r="Q307" s="68" t="s">
        <v>37</v>
      </c>
    </row>
    <row r="308" spans="6:17">
      <c r="F308" s="64">
        <v>307</v>
      </c>
      <c r="G308" s="65">
        <f t="shared" si="10"/>
        <v>44137</v>
      </c>
      <c r="H308" s="66">
        <f t="shared" si="9"/>
        <v>44137</v>
      </c>
      <c r="I308" s="72" t="s">
        <v>109</v>
      </c>
      <c r="J308" s="73" t="s">
        <v>36</v>
      </c>
      <c r="K308" s="73"/>
      <c r="L308" s="73"/>
      <c r="M308" s="73"/>
      <c r="N308" s="100" t="s">
        <v>144</v>
      </c>
      <c r="O308" s="96" t="s">
        <v>150</v>
      </c>
      <c r="P308" s="132" t="str">
        <f>TEXT(VLOOKUP(WEEKDAY($H308),Data!$C$10:$D$16,2,FALSE),"G/표준;;")</f>
        <v>일반(밤)</v>
      </c>
      <c r="Q308" s="68" t="s">
        <v>37</v>
      </c>
    </row>
    <row r="309" spans="6:17">
      <c r="F309" s="64">
        <v>308</v>
      </c>
      <c r="G309" s="65">
        <f t="shared" si="10"/>
        <v>44138</v>
      </c>
      <c r="H309" s="66">
        <f t="shared" si="9"/>
        <v>44138</v>
      </c>
      <c r="I309" s="72"/>
      <c r="J309" s="73"/>
      <c r="K309" s="73"/>
      <c r="L309" s="73"/>
      <c r="M309" s="73"/>
      <c r="N309" s="100" t="s">
        <v>145</v>
      </c>
      <c r="O309" s="70" t="s">
        <v>37</v>
      </c>
      <c r="P309" s="132" t="str">
        <f>TEXT(VLOOKUP(WEEKDAY($H309),Data!$C$10:$D$16,2,FALSE),"G/표준;;")</f>
        <v>노트북</v>
      </c>
      <c r="Q309" s="68" t="s">
        <v>37</v>
      </c>
    </row>
    <row r="310" spans="6:17">
      <c r="F310" s="64">
        <v>309</v>
      </c>
      <c r="G310" s="65">
        <f t="shared" si="10"/>
        <v>44139</v>
      </c>
      <c r="H310" s="66">
        <f t="shared" si="9"/>
        <v>44139</v>
      </c>
      <c r="I310" s="72"/>
      <c r="J310" s="72"/>
      <c r="K310" s="72"/>
      <c r="L310" s="73"/>
      <c r="M310" s="73"/>
      <c r="N310" s="100" t="s">
        <v>146</v>
      </c>
      <c r="O310" s="70" t="s">
        <v>37</v>
      </c>
      <c r="P310" s="132" t="str">
        <f>TEXT(VLOOKUP(WEEKDAY($H310),Data!$C$10:$D$16,2,FALSE),"G/표준;;")</f>
        <v>재활용(밤)</v>
      </c>
      <c r="Q310" s="68" t="s">
        <v>37</v>
      </c>
    </row>
    <row r="311" spans="6:17">
      <c r="F311" s="64">
        <v>310</v>
      </c>
      <c r="G311" s="65">
        <f t="shared" si="10"/>
        <v>44140</v>
      </c>
      <c r="H311" s="66">
        <f t="shared" si="9"/>
        <v>44140</v>
      </c>
      <c r="I311" s="72"/>
      <c r="J311" s="73"/>
      <c r="K311" s="73"/>
      <c r="L311" s="73"/>
      <c r="M311" s="73"/>
      <c r="N311" s="100" t="s">
        <v>147</v>
      </c>
      <c r="O311" s="70" t="s">
        <v>37</v>
      </c>
      <c r="P311" s="132" t="str">
        <f>TEXT(VLOOKUP(WEEKDAY($H311),Data!$C$10:$D$16,2,FALSE),"G/표준;;")</f>
        <v>일반(밤)</v>
      </c>
      <c r="Q311" s="68" t="s">
        <v>37</v>
      </c>
    </row>
    <row r="312" spans="6:17">
      <c r="F312" s="64">
        <v>311</v>
      </c>
      <c r="G312" s="65">
        <f t="shared" si="10"/>
        <v>44141</v>
      </c>
      <c r="H312" s="66">
        <f t="shared" si="9"/>
        <v>44141</v>
      </c>
      <c r="I312" s="72"/>
      <c r="J312" s="73"/>
      <c r="K312" s="73"/>
      <c r="L312" s="73"/>
      <c r="M312" s="73"/>
      <c r="N312" s="100" t="s">
        <v>148</v>
      </c>
      <c r="O312" s="70" t="s">
        <v>37</v>
      </c>
      <c r="P312" s="132" t="str">
        <f>TEXT(VLOOKUP(WEEKDAY($H312),Data!$C$10:$D$16,2,FALSE),"G/표준;;")</f>
        <v>먼지 소독</v>
      </c>
      <c r="Q312" s="68" t="s">
        <v>37</v>
      </c>
    </row>
    <row r="313" spans="6:17">
      <c r="F313" s="64">
        <v>312</v>
      </c>
      <c r="G313" s="65">
        <f t="shared" si="10"/>
        <v>44142</v>
      </c>
      <c r="H313" s="66">
        <f t="shared" si="9"/>
        <v>44142</v>
      </c>
      <c r="I313" s="72"/>
      <c r="J313" s="73"/>
      <c r="K313" s="73"/>
      <c r="L313" s="73"/>
      <c r="M313" s="73"/>
      <c r="N313" s="100" t="s">
        <v>149</v>
      </c>
      <c r="O313" s="106" t="s">
        <v>156</v>
      </c>
      <c r="P313" s="132" t="str">
        <f>TEXT(VLOOKUP(WEEKDAY($H313),Data!$C$10:$D$16,2,FALSE),"G/표준;;")</f>
        <v>필터교체</v>
      </c>
      <c r="Q313" s="68" t="s">
        <v>37</v>
      </c>
    </row>
    <row r="314" spans="6:17">
      <c r="F314" s="64">
        <v>313</v>
      </c>
      <c r="G314" s="65">
        <f t="shared" si="10"/>
        <v>44143</v>
      </c>
      <c r="H314" s="66">
        <f t="shared" si="9"/>
        <v>44143</v>
      </c>
      <c r="I314" s="72"/>
      <c r="J314" s="73"/>
      <c r="K314" s="73"/>
      <c r="L314" s="73"/>
      <c r="M314" s="73"/>
      <c r="N314" s="100" t="s">
        <v>151</v>
      </c>
      <c r="O314" s="70" t="s">
        <v>37</v>
      </c>
      <c r="P314" s="132" t="str">
        <f>TEXT(VLOOKUP(WEEKDAY($H314),Data!$C$10:$D$16,2,FALSE),"G/표준;;")</f>
        <v>다림질, 손코</v>
      </c>
      <c r="Q314" s="68" t="s">
        <v>37</v>
      </c>
    </row>
    <row r="315" spans="6:17">
      <c r="F315" s="64">
        <v>314</v>
      </c>
      <c r="G315" s="65">
        <f t="shared" si="10"/>
        <v>44144</v>
      </c>
      <c r="H315" s="66">
        <f t="shared" si="9"/>
        <v>44144</v>
      </c>
      <c r="I315" s="72"/>
      <c r="J315" s="73"/>
      <c r="K315" s="73"/>
      <c r="L315" s="73"/>
      <c r="M315" s="73"/>
      <c r="N315" s="100" t="s">
        <v>152</v>
      </c>
      <c r="O315" s="105" t="s">
        <v>159</v>
      </c>
      <c r="P315" s="132" t="str">
        <f>TEXT(VLOOKUP(WEEKDAY($H315),Data!$C$10:$D$16,2,FALSE),"G/표준;;")</f>
        <v>일반(밤)</v>
      </c>
      <c r="Q315" s="68" t="s">
        <v>37</v>
      </c>
    </row>
    <row r="316" spans="6:17">
      <c r="F316" s="64">
        <v>315</v>
      </c>
      <c r="G316" s="65">
        <f t="shared" si="10"/>
        <v>44145</v>
      </c>
      <c r="H316" s="66">
        <f t="shared" si="9"/>
        <v>44145</v>
      </c>
      <c r="I316" s="72"/>
      <c r="J316" s="73"/>
      <c r="K316" s="73"/>
      <c r="L316" s="73"/>
      <c r="M316" s="73"/>
      <c r="N316" s="100" t="s">
        <v>153</v>
      </c>
      <c r="O316" s="70" t="s">
        <v>37</v>
      </c>
      <c r="P316" s="132" t="str">
        <f>TEXT(VLOOKUP(WEEKDAY($H316),Data!$C$10:$D$16,2,FALSE),"G/표준;;")</f>
        <v>노트북</v>
      </c>
      <c r="Q316" s="68" t="s">
        <v>37</v>
      </c>
    </row>
    <row r="317" spans="6:17">
      <c r="F317" s="64">
        <v>316</v>
      </c>
      <c r="G317" s="65">
        <f t="shared" si="10"/>
        <v>44146</v>
      </c>
      <c r="H317" s="66">
        <f t="shared" si="9"/>
        <v>44146</v>
      </c>
      <c r="I317" s="72"/>
      <c r="J317" s="73"/>
      <c r="K317" s="73"/>
      <c r="L317" s="73"/>
      <c r="M317" s="73"/>
      <c r="N317" s="100" t="s">
        <v>154</v>
      </c>
      <c r="O317" s="70" t="s">
        <v>37</v>
      </c>
      <c r="P317" s="132" t="str">
        <f>TEXT(VLOOKUP(WEEKDAY($H317),Data!$C$10:$D$16,2,FALSE),"G/표준;;")</f>
        <v>재활용(밤)</v>
      </c>
      <c r="Q317" s="68" t="s">
        <v>37</v>
      </c>
    </row>
    <row r="318" spans="6:17">
      <c r="F318" s="64">
        <v>317</v>
      </c>
      <c r="G318" s="65">
        <f t="shared" si="10"/>
        <v>44147</v>
      </c>
      <c r="H318" s="66">
        <f t="shared" si="9"/>
        <v>44147</v>
      </c>
      <c r="I318" s="72"/>
      <c r="J318" s="73"/>
      <c r="K318" s="73"/>
      <c r="L318" s="73"/>
      <c r="M318" s="73"/>
      <c r="N318" s="100" t="s">
        <v>155</v>
      </c>
      <c r="O318" s="70" t="s">
        <v>37</v>
      </c>
      <c r="P318" s="132" t="str">
        <f>TEXT(VLOOKUP(WEEKDAY($H318),Data!$C$10:$D$16,2,FALSE),"G/표준;;")</f>
        <v>일반(밤)</v>
      </c>
      <c r="Q318" s="68" t="s">
        <v>37</v>
      </c>
    </row>
    <row r="319" spans="6:17">
      <c r="F319" s="64">
        <v>318</v>
      </c>
      <c r="G319" s="65">
        <f t="shared" si="10"/>
        <v>44148</v>
      </c>
      <c r="H319" s="66">
        <f t="shared" si="9"/>
        <v>44148</v>
      </c>
      <c r="I319" s="72"/>
      <c r="J319" s="73"/>
      <c r="K319" s="73"/>
      <c r="L319" s="73"/>
      <c r="M319" s="73"/>
      <c r="N319" s="100" t="s">
        <v>157</v>
      </c>
      <c r="O319" s="70" t="s">
        <v>37</v>
      </c>
      <c r="P319" s="132" t="str">
        <f>TEXT(VLOOKUP(WEEKDAY($H319),Data!$C$10:$D$16,2,FALSE),"G/표준;;")</f>
        <v>먼지 소독</v>
      </c>
      <c r="Q319" s="68" t="s">
        <v>37</v>
      </c>
    </row>
    <row r="320" spans="6:17">
      <c r="F320" s="64">
        <v>319</v>
      </c>
      <c r="G320" s="65">
        <f t="shared" si="10"/>
        <v>44149</v>
      </c>
      <c r="H320" s="66">
        <f t="shared" si="9"/>
        <v>44149</v>
      </c>
      <c r="I320" s="72"/>
      <c r="J320" s="73"/>
      <c r="K320" s="73"/>
      <c r="L320" s="73"/>
      <c r="M320" s="73"/>
      <c r="N320" s="100" t="s">
        <v>158</v>
      </c>
      <c r="O320" s="70" t="s">
        <v>37</v>
      </c>
      <c r="P320" s="132" t="str">
        <f>TEXT(VLOOKUP(WEEKDAY($H320),Data!$C$10:$D$16,2,FALSE),"G/표준;;")</f>
        <v>필터교체</v>
      </c>
      <c r="Q320" s="68" t="s">
        <v>37</v>
      </c>
    </row>
    <row r="321" spans="6:17">
      <c r="F321" s="64">
        <v>320</v>
      </c>
      <c r="G321" s="65">
        <f t="shared" si="10"/>
        <v>44150</v>
      </c>
      <c r="H321" s="66">
        <f t="shared" si="9"/>
        <v>44150</v>
      </c>
      <c r="I321" s="72" t="s">
        <v>39</v>
      </c>
      <c r="J321" s="73" t="s">
        <v>36</v>
      </c>
      <c r="K321" s="73"/>
      <c r="L321" s="73"/>
      <c r="M321" s="73"/>
      <c r="N321" s="100" t="s">
        <v>160</v>
      </c>
      <c r="O321" s="70" t="s">
        <v>37</v>
      </c>
      <c r="P321" s="132" t="str">
        <f>TEXT(VLOOKUP(WEEKDAY($H321),Data!$C$10:$D$16,2,FALSE),"G/표준;;")</f>
        <v>다림질, 손코</v>
      </c>
      <c r="Q321" s="68" t="s">
        <v>37</v>
      </c>
    </row>
    <row r="322" spans="6:17">
      <c r="F322" s="64">
        <v>321</v>
      </c>
      <c r="G322" s="65">
        <f t="shared" si="10"/>
        <v>44151</v>
      </c>
      <c r="H322" s="66">
        <f t="shared" si="9"/>
        <v>44151</v>
      </c>
      <c r="I322" s="72"/>
      <c r="J322" s="73"/>
      <c r="K322" s="73"/>
      <c r="L322" s="73"/>
      <c r="M322" s="73"/>
      <c r="N322" s="100" t="s">
        <v>161</v>
      </c>
      <c r="O322" s="70" t="s">
        <v>37</v>
      </c>
      <c r="P322" s="132" t="str">
        <f>TEXT(VLOOKUP(WEEKDAY($H322),Data!$C$10:$D$16,2,FALSE),"G/표준;;")</f>
        <v>일반(밤)</v>
      </c>
      <c r="Q322" s="68" t="s">
        <v>37</v>
      </c>
    </row>
    <row r="323" spans="6:17">
      <c r="F323" s="64">
        <v>322</v>
      </c>
      <c r="G323" s="65">
        <f t="shared" si="10"/>
        <v>44152</v>
      </c>
      <c r="H323" s="66">
        <f t="shared" ref="H323:H367" si="11">G323</f>
        <v>44152</v>
      </c>
      <c r="I323" s="72"/>
      <c r="J323" s="73"/>
      <c r="K323" s="73"/>
      <c r="L323" s="73"/>
      <c r="M323" s="73"/>
      <c r="N323" s="100" t="s">
        <v>162</v>
      </c>
      <c r="O323" s="70" t="s">
        <v>37</v>
      </c>
      <c r="P323" s="132" t="str">
        <f>TEXT(VLOOKUP(WEEKDAY($H323),Data!$C$10:$D$16,2,FALSE),"G/표준;;")</f>
        <v>노트북</v>
      </c>
      <c r="Q323" s="68" t="s">
        <v>37</v>
      </c>
    </row>
    <row r="324" spans="6:17">
      <c r="F324" s="64">
        <v>323</v>
      </c>
      <c r="G324" s="65">
        <f t="shared" ref="G324:G367" si="12">G323+1</f>
        <v>44153</v>
      </c>
      <c r="H324" s="66">
        <f t="shared" si="11"/>
        <v>44153</v>
      </c>
      <c r="I324" s="72"/>
      <c r="J324" s="73"/>
      <c r="K324" s="73"/>
      <c r="L324" s="73"/>
      <c r="M324" s="73"/>
      <c r="N324" s="100" t="s">
        <v>163</v>
      </c>
      <c r="O324" s="70" t="s">
        <v>37</v>
      </c>
      <c r="P324" s="132" t="str">
        <f>TEXT(VLOOKUP(WEEKDAY($H324),Data!$C$10:$D$16,2,FALSE),"G/표준;;")</f>
        <v>재활용(밤)</v>
      </c>
      <c r="Q324" s="68" t="s">
        <v>37</v>
      </c>
    </row>
    <row r="325" spans="6:17">
      <c r="F325" s="64">
        <v>324</v>
      </c>
      <c r="G325" s="65">
        <f t="shared" si="12"/>
        <v>44154</v>
      </c>
      <c r="H325" s="66">
        <f t="shared" si="11"/>
        <v>44154</v>
      </c>
      <c r="I325" s="72"/>
      <c r="J325" s="73"/>
      <c r="K325" s="73"/>
      <c r="L325" s="73"/>
      <c r="M325" s="73"/>
      <c r="N325" s="100" t="s">
        <v>164</v>
      </c>
      <c r="O325" s="70" t="s">
        <v>37</v>
      </c>
      <c r="P325" s="132" t="str">
        <f>TEXT(VLOOKUP(WEEKDAY($H325),Data!$C$10:$D$16,2,FALSE),"G/표준;;")</f>
        <v>일반(밤)</v>
      </c>
      <c r="Q325" s="68" t="s">
        <v>37</v>
      </c>
    </row>
    <row r="326" spans="6:17">
      <c r="F326" s="64">
        <v>325</v>
      </c>
      <c r="G326" s="65">
        <f t="shared" si="12"/>
        <v>44155</v>
      </c>
      <c r="H326" s="66">
        <f t="shared" si="11"/>
        <v>44155</v>
      </c>
      <c r="I326" s="72"/>
      <c r="J326" s="103" t="s">
        <v>110</v>
      </c>
      <c r="K326" s="72" t="s">
        <v>36</v>
      </c>
      <c r="L326" s="73"/>
      <c r="M326" s="73"/>
      <c r="N326" s="100" t="s">
        <v>165</v>
      </c>
      <c r="O326" s="70" t="s">
        <v>37</v>
      </c>
      <c r="P326" s="132" t="str">
        <f>TEXT(VLOOKUP(WEEKDAY($H326),Data!$C$10:$D$16,2,FALSE),"G/표준;;")</f>
        <v>먼지 소독</v>
      </c>
      <c r="Q326" s="68" t="s">
        <v>37</v>
      </c>
    </row>
    <row r="327" spans="6:17">
      <c r="F327" s="64">
        <v>326</v>
      </c>
      <c r="G327" s="65">
        <f t="shared" si="12"/>
        <v>44156</v>
      </c>
      <c r="H327" s="66">
        <f t="shared" si="11"/>
        <v>44156</v>
      </c>
      <c r="I327" s="72"/>
      <c r="J327" s="73"/>
      <c r="K327" s="73"/>
      <c r="L327" s="73"/>
      <c r="M327" s="73"/>
      <c r="N327" s="100" t="s">
        <v>166</v>
      </c>
      <c r="O327" s="70" t="s">
        <v>37</v>
      </c>
      <c r="P327" s="132" t="str">
        <f>TEXT(VLOOKUP(WEEKDAY($H327),Data!$C$10:$D$16,2,FALSE),"G/표준;;")</f>
        <v>필터교체</v>
      </c>
      <c r="Q327" s="68" t="s">
        <v>37</v>
      </c>
    </row>
    <row r="328" spans="6:17">
      <c r="F328" s="64">
        <v>327</v>
      </c>
      <c r="G328" s="65">
        <f t="shared" si="12"/>
        <v>44157</v>
      </c>
      <c r="H328" s="66">
        <f t="shared" si="11"/>
        <v>44157</v>
      </c>
      <c r="I328" s="72"/>
      <c r="J328" s="73"/>
      <c r="K328" s="73"/>
      <c r="L328" s="73"/>
      <c r="M328" s="73"/>
      <c r="N328" s="100" t="s">
        <v>167</v>
      </c>
      <c r="O328" s="70" t="s">
        <v>37</v>
      </c>
      <c r="P328" s="132" t="str">
        <f>TEXT(VLOOKUP(WEEKDAY($H328),Data!$C$10:$D$16,2,FALSE),"G/표준;;")</f>
        <v>다림질, 손코</v>
      </c>
      <c r="Q328" s="68" t="s">
        <v>37</v>
      </c>
    </row>
    <row r="329" spans="6:17">
      <c r="F329" s="64">
        <v>328</v>
      </c>
      <c r="G329" s="65">
        <f t="shared" si="12"/>
        <v>44158</v>
      </c>
      <c r="H329" s="66">
        <f t="shared" si="11"/>
        <v>44158</v>
      </c>
      <c r="I329" s="72"/>
      <c r="J329" s="73"/>
      <c r="K329" s="73"/>
      <c r="L329" s="73"/>
      <c r="M329" s="73"/>
      <c r="N329" s="100" t="s">
        <v>168</v>
      </c>
      <c r="O329" s="70" t="s">
        <v>37</v>
      </c>
      <c r="P329" s="132" t="str">
        <f>TEXT(VLOOKUP(WEEKDAY($H329),Data!$C$10:$D$16,2,FALSE),"G/표준;;")</f>
        <v>일반(밤)</v>
      </c>
      <c r="Q329" s="68" t="s">
        <v>37</v>
      </c>
    </row>
    <row r="330" spans="6:17">
      <c r="F330" s="64">
        <v>329</v>
      </c>
      <c r="G330" s="65">
        <f t="shared" si="12"/>
        <v>44159</v>
      </c>
      <c r="H330" s="66">
        <f t="shared" si="11"/>
        <v>44159</v>
      </c>
      <c r="I330" s="72"/>
      <c r="J330" s="73"/>
      <c r="K330" s="73"/>
      <c r="L330" s="73"/>
      <c r="M330" s="73"/>
      <c r="N330" s="100" t="s">
        <v>169</v>
      </c>
      <c r="O330" s="70" t="s">
        <v>37</v>
      </c>
      <c r="P330" s="132" t="str">
        <f>TEXT(VLOOKUP(WEEKDAY($H330),Data!$C$10:$D$16,2,FALSE),"G/표준;;")</f>
        <v>노트북</v>
      </c>
      <c r="Q330" s="68" t="s">
        <v>37</v>
      </c>
    </row>
    <row r="331" spans="6:17">
      <c r="F331" s="64">
        <v>330</v>
      </c>
      <c r="G331" s="65">
        <f t="shared" si="12"/>
        <v>44160</v>
      </c>
      <c r="H331" s="66">
        <f t="shared" si="11"/>
        <v>44160</v>
      </c>
      <c r="I331" s="72"/>
      <c r="J331" s="73"/>
      <c r="K331" s="73"/>
      <c r="L331" s="73"/>
      <c r="M331" s="73"/>
      <c r="N331" s="100" t="s">
        <v>170</v>
      </c>
      <c r="O331" s="70" t="s">
        <v>37</v>
      </c>
      <c r="P331" s="132" t="str">
        <f>TEXT(VLOOKUP(WEEKDAY($H331),Data!$C$10:$D$16,2,FALSE),"G/표준;;")</f>
        <v>재활용(밤)</v>
      </c>
      <c r="Q331" s="68" t="s">
        <v>37</v>
      </c>
    </row>
    <row r="332" spans="6:17">
      <c r="F332" s="64">
        <v>331</v>
      </c>
      <c r="G332" s="65">
        <f t="shared" si="12"/>
        <v>44161</v>
      </c>
      <c r="H332" s="66">
        <f t="shared" si="11"/>
        <v>44161</v>
      </c>
      <c r="I332" s="72"/>
      <c r="J332" s="73"/>
      <c r="K332" s="73"/>
      <c r="L332" s="73"/>
      <c r="M332" s="73"/>
      <c r="N332" s="100" t="s">
        <v>171</v>
      </c>
      <c r="O332" s="70" t="s">
        <v>37</v>
      </c>
      <c r="P332" s="132" t="str">
        <f>TEXT(VLOOKUP(WEEKDAY($H332),Data!$C$10:$D$16,2,FALSE),"G/표준;;")</f>
        <v>일반(밤)</v>
      </c>
      <c r="Q332" s="68" t="s">
        <v>37</v>
      </c>
    </row>
    <row r="333" spans="6:17">
      <c r="F333" s="64">
        <v>332</v>
      </c>
      <c r="G333" s="65">
        <f t="shared" si="12"/>
        <v>44162</v>
      </c>
      <c r="H333" s="66">
        <f t="shared" si="11"/>
        <v>44162</v>
      </c>
      <c r="I333" s="72"/>
      <c r="J333" s="73"/>
      <c r="K333" s="73"/>
      <c r="L333" s="73"/>
      <c r="M333" s="73"/>
      <c r="N333" s="100" t="s">
        <v>172</v>
      </c>
      <c r="O333" s="70" t="s">
        <v>37</v>
      </c>
      <c r="P333" s="132" t="str">
        <f>TEXT(VLOOKUP(WEEKDAY($H333),Data!$C$10:$D$16,2,FALSE),"G/표준;;")</f>
        <v>먼지 소독</v>
      </c>
      <c r="Q333" s="68" t="s">
        <v>37</v>
      </c>
    </row>
    <row r="334" spans="6:17">
      <c r="F334" s="64">
        <v>333</v>
      </c>
      <c r="G334" s="65">
        <f t="shared" si="12"/>
        <v>44163</v>
      </c>
      <c r="H334" s="66">
        <f t="shared" si="11"/>
        <v>44163</v>
      </c>
      <c r="I334" s="72"/>
      <c r="J334" s="73"/>
      <c r="K334" s="73"/>
      <c r="L334" s="73"/>
      <c r="M334" s="73"/>
      <c r="N334" s="100" t="s">
        <v>173</v>
      </c>
      <c r="O334" s="70" t="s">
        <v>37</v>
      </c>
      <c r="P334" s="132" t="str">
        <f>TEXT(VLOOKUP(WEEKDAY($H334),Data!$C$10:$D$16,2,FALSE),"G/표준;;")</f>
        <v>필터교체</v>
      </c>
      <c r="Q334" s="68" t="s">
        <v>37</v>
      </c>
    </row>
    <row r="335" spans="6:17">
      <c r="F335" s="64">
        <v>334</v>
      </c>
      <c r="G335" s="65">
        <f t="shared" si="12"/>
        <v>44164</v>
      </c>
      <c r="H335" s="66">
        <f t="shared" si="11"/>
        <v>44164</v>
      </c>
      <c r="I335" s="72"/>
      <c r="J335" s="73"/>
      <c r="K335" s="73"/>
      <c r="L335" s="73"/>
      <c r="M335" s="73"/>
      <c r="N335" s="100" t="s">
        <v>174</v>
      </c>
      <c r="O335" s="70" t="s">
        <v>37</v>
      </c>
      <c r="P335" s="132" t="str">
        <f>TEXT(VLOOKUP(WEEKDAY($H335),Data!$C$10:$D$16,2,FALSE),"G/표준;;")</f>
        <v>다림질, 손코</v>
      </c>
      <c r="Q335" s="68" t="s">
        <v>37</v>
      </c>
    </row>
    <row r="336" spans="6:17">
      <c r="F336" s="64">
        <v>335</v>
      </c>
      <c r="G336" s="65">
        <f t="shared" si="12"/>
        <v>44165</v>
      </c>
      <c r="H336" s="66">
        <f t="shared" si="11"/>
        <v>44165</v>
      </c>
      <c r="I336" s="72"/>
      <c r="J336" s="73" t="s">
        <v>104</v>
      </c>
      <c r="K336" s="73" t="s">
        <v>36</v>
      </c>
      <c r="L336" s="73"/>
      <c r="M336" s="73"/>
      <c r="N336" s="100" t="s">
        <v>175</v>
      </c>
      <c r="O336" s="70" t="s">
        <v>37</v>
      </c>
      <c r="P336" s="132" t="str">
        <f>TEXT(VLOOKUP(WEEKDAY($H336),Data!$C$10:$D$16,2,FALSE),"G/표준;;")</f>
        <v>일반(밤)</v>
      </c>
      <c r="Q336" s="68" t="s">
        <v>37</v>
      </c>
    </row>
    <row r="337" spans="6:17">
      <c r="F337" s="64">
        <v>336</v>
      </c>
      <c r="G337" s="65">
        <f t="shared" si="12"/>
        <v>44166</v>
      </c>
      <c r="H337" s="66">
        <f t="shared" si="11"/>
        <v>44166</v>
      </c>
      <c r="I337" s="72"/>
      <c r="J337" s="72"/>
      <c r="K337" s="72"/>
      <c r="L337" s="73"/>
      <c r="M337" s="73"/>
      <c r="N337" s="100" t="s">
        <v>176</v>
      </c>
      <c r="O337" s="70" t="s">
        <v>37</v>
      </c>
      <c r="P337" s="132" t="str">
        <f>TEXT(VLOOKUP(WEEKDAY($H337),Data!$C$10:$D$16,2,FALSE),"G/표준;;")</f>
        <v>노트북</v>
      </c>
      <c r="Q337" s="68" t="s">
        <v>37</v>
      </c>
    </row>
    <row r="338" spans="6:17">
      <c r="F338" s="64">
        <v>337</v>
      </c>
      <c r="G338" s="65">
        <f t="shared" si="12"/>
        <v>44167</v>
      </c>
      <c r="H338" s="66">
        <f t="shared" si="11"/>
        <v>44167</v>
      </c>
      <c r="I338" s="72"/>
      <c r="J338" s="73"/>
      <c r="K338" s="73"/>
      <c r="L338" s="73"/>
      <c r="M338" s="73"/>
      <c r="N338" s="100" t="s">
        <v>177</v>
      </c>
      <c r="O338" s="74"/>
      <c r="P338" s="132" t="str">
        <f>TEXT(VLOOKUP(WEEKDAY($H338),Data!$C$10:$D$16,2,FALSE),"G/표준;;")</f>
        <v>재활용(밤)</v>
      </c>
      <c r="Q338" s="68" t="s">
        <v>37</v>
      </c>
    </row>
    <row r="339" spans="6:17">
      <c r="F339" s="64">
        <v>338</v>
      </c>
      <c r="G339" s="65">
        <f t="shared" si="12"/>
        <v>44168</v>
      </c>
      <c r="H339" s="66">
        <f t="shared" si="11"/>
        <v>44168</v>
      </c>
      <c r="I339" s="72"/>
      <c r="J339" s="73"/>
      <c r="K339" s="73"/>
      <c r="L339" s="73"/>
      <c r="M339" s="73"/>
      <c r="N339" s="100" t="s">
        <v>178</v>
      </c>
      <c r="O339" s="74"/>
      <c r="P339" s="132" t="str">
        <f>TEXT(VLOOKUP(WEEKDAY($H339),Data!$C$10:$D$16,2,FALSE),"G/표준;;")</f>
        <v>일반(밤)</v>
      </c>
      <c r="Q339" s="68" t="s">
        <v>37</v>
      </c>
    </row>
    <row r="340" spans="6:17">
      <c r="F340" s="64">
        <v>339</v>
      </c>
      <c r="G340" s="65">
        <f t="shared" si="12"/>
        <v>44169</v>
      </c>
      <c r="H340" s="66">
        <f t="shared" si="11"/>
        <v>44169</v>
      </c>
      <c r="I340" s="72"/>
      <c r="J340" s="73"/>
      <c r="K340" s="73"/>
      <c r="L340" s="73"/>
      <c r="M340" s="73"/>
      <c r="N340" s="100" t="s">
        <v>179</v>
      </c>
      <c r="O340" s="74"/>
      <c r="P340" s="132" t="str">
        <f>TEXT(VLOOKUP(WEEKDAY($H340),Data!$C$10:$D$16,2,FALSE),"G/표준;;")</f>
        <v>먼지 소독</v>
      </c>
      <c r="Q340" s="68" t="s">
        <v>37</v>
      </c>
    </row>
    <row r="341" spans="6:17">
      <c r="F341" s="64">
        <v>340</v>
      </c>
      <c r="G341" s="65">
        <f t="shared" si="12"/>
        <v>44170</v>
      </c>
      <c r="H341" s="66">
        <f t="shared" si="11"/>
        <v>44170</v>
      </c>
      <c r="I341" s="72"/>
      <c r="J341" s="73"/>
      <c r="K341" s="73"/>
      <c r="L341" s="73"/>
      <c r="M341" s="73"/>
      <c r="N341" s="100" t="s">
        <v>180</v>
      </c>
      <c r="O341" s="74" t="s">
        <v>183</v>
      </c>
      <c r="P341" s="132" t="str">
        <f>TEXT(VLOOKUP(WEEKDAY($H341),Data!$C$10:$D$16,2,FALSE),"G/표준;;")</f>
        <v>필터교체</v>
      </c>
      <c r="Q341" s="68" t="s">
        <v>37</v>
      </c>
    </row>
    <row r="342" spans="6:17">
      <c r="F342" s="64">
        <v>341</v>
      </c>
      <c r="G342" s="65">
        <f t="shared" si="12"/>
        <v>44171</v>
      </c>
      <c r="H342" s="66">
        <f t="shared" si="11"/>
        <v>44171</v>
      </c>
      <c r="I342" s="96" t="s">
        <v>111</v>
      </c>
      <c r="J342" s="73" t="s">
        <v>36</v>
      </c>
      <c r="K342" s="73"/>
      <c r="L342" s="73"/>
      <c r="M342" s="73"/>
      <c r="N342" s="100" t="s">
        <v>181</v>
      </c>
      <c r="O342" s="74" t="s">
        <v>184</v>
      </c>
      <c r="P342" s="132" t="str">
        <f>TEXT(VLOOKUP(WEEKDAY($H342),Data!$C$10:$D$16,2,FALSE),"G/표준;;")</f>
        <v>다림질, 손코</v>
      </c>
      <c r="Q342" s="68" t="s">
        <v>37</v>
      </c>
    </row>
    <row r="343" spans="6:17">
      <c r="F343" s="64">
        <v>342</v>
      </c>
      <c r="G343" s="65">
        <f t="shared" si="12"/>
        <v>44172</v>
      </c>
      <c r="H343" s="66">
        <f t="shared" si="11"/>
        <v>44172</v>
      </c>
      <c r="I343" s="72"/>
      <c r="J343" s="73"/>
      <c r="K343" s="73"/>
      <c r="L343" s="73"/>
      <c r="M343" s="73"/>
      <c r="N343" s="100" t="s">
        <v>182</v>
      </c>
      <c r="O343" s="74" t="s">
        <v>185</v>
      </c>
      <c r="P343" s="132" t="str">
        <f>TEXT(VLOOKUP(WEEKDAY($H343),Data!$C$10:$D$16,2,FALSE),"G/표준;;")</f>
        <v>일반(밤)</v>
      </c>
      <c r="Q343" s="68" t="s">
        <v>37</v>
      </c>
    </row>
    <row r="344" spans="6:17">
      <c r="F344" s="64">
        <v>343</v>
      </c>
      <c r="G344" s="65">
        <f t="shared" si="12"/>
        <v>44173</v>
      </c>
      <c r="H344" s="66">
        <f t="shared" si="11"/>
        <v>44173</v>
      </c>
      <c r="I344" s="72"/>
      <c r="J344" s="73"/>
      <c r="K344" s="73"/>
      <c r="L344" s="73"/>
      <c r="M344" s="73"/>
      <c r="N344" s="100" t="s">
        <v>182</v>
      </c>
      <c r="O344" s="96" t="s">
        <v>186</v>
      </c>
      <c r="P344" s="132" t="str">
        <f>TEXT(VLOOKUP(WEEKDAY($H344),Data!$C$10:$D$16,2,FALSE),"G/표준;;")</f>
        <v>노트북</v>
      </c>
      <c r="Q344" s="68" t="s">
        <v>37</v>
      </c>
    </row>
    <row r="345" spans="6:17">
      <c r="F345" s="64">
        <v>344</v>
      </c>
      <c r="G345" s="65">
        <f t="shared" si="12"/>
        <v>44174</v>
      </c>
      <c r="H345" s="66">
        <f t="shared" si="11"/>
        <v>44174</v>
      </c>
      <c r="I345" s="72"/>
      <c r="J345" s="73"/>
      <c r="K345" s="73"/>
      <c r="L345" s="73"/>
      <c r="M345" s="73"/>
      <c r="N345" s="100" t="s">
        <v>182</v>
      </c>
      <c r="O345" s="74" t="s">
        <v>187</v>
      </c>
      <c r="P345" s="132" t="str">
        <f>TEXT(VLOOKUP(WEEKDAY($H345),Data!$C$10:$D$16,2,FALSE),"G/표준;;")</f>
        <v>재활용(밤)</v>
      </c>
      <c r="Q345" s="68" t="s">
        <v>37</v>
      </c>
    </row>
    <row r="346" spans="6:17">
      <c r="F346" s="64">
        <v>345</v>
      </c>
      <c r="G346" s="65">
        <f t="shared" si="12"/>
        <v>44175</v>
      </c>
      <c r="H346" s="66">
        <f t="shared" si="11"/>
        <v>44175</v>
      </c>
      <c r="I346" s="72"/>
      <c r="J346" s="73"/>
      <c r="K346" s="73"/>
      <c r="L346" s="73"/>
      <c r="M346" s="73"/>
      <c r="N346" s="100" t="s">
        <v>182</v>
      </c>
      <c r="O346" s="72" t="s">
        <v>188</v>
      </c>
      <c r="P346" s="132" t="str">
        <f>TEXT(VLOOKUP(WEEKDAY($H346),Data!$C$10:$D$16,2,FALSE),"G/표준;;")</f>
        <v>일반(밤)</v>
      </c>
      <c r="Q346" s="68" t="s">
        <v>37</v>
      </c>
    </row>
    <row r="347" spans="6:17">
      <c r="F347" s="64">
        <v>346</v>
      </c>
      <c r="G347" s="65">
        <f t="shared" si="12"/>
        <v>44176</v>
      </c>
      <c r="H347" s="66">
        <f t="shared" si="11"/>
        <v>44176</v>
      </c>
      <c r="I347" s="72"/>
      <c r="J347" s="73"/>
      <c r="K347" s="73"/>
      <c r="L347" s="73"/>
      <c r="M347" s="73"/>
      <c r="N347" s="100" t="s">
        <v>182</v>
      </c>
      <c r="O347" s="72" t="s">
        <v>189</v>
      </c>
      <c r="P347" s="132" t="str">
        <f>TEXT(VLOOKUP(WEEKDAY($H347),Data!$C$10:$D$16,2,FALSE),"G/표준;;")</f>
        <v>먼지 소독</v>
      </c>
      <c r="Q347" s="68" t="s">
        <v>37</v>
      </c>
    </row>
    <row r="348" spans="6:17">
      <c r="F348" s="64">
        <v>347</v>
      </c>
      <c r="G348" s="65">
        <f t="shared" si="12"/>
        <v>44177</v>
      </c>
      <c r="H348" s="66">
        <f t="shared" si="11"/>
        <v>44177</v>
      </c>
      <c r="I348" s="72"/>
      <c r="J348" s="73"/>
      <c r="K348" s="73"/>
      <c r="L348" s="73"/>
      <c r="M348" s="73"/>
      <c r="N348" s="100" t="s">
        <v>182</v>
      </c>
      <c r="O348" s="72" t="s">
        <v>190</v>
      </c>
      <c r="P348" s="132" t="str">
        <f>TEXT(VLOOKUP(WEEKDAY($H348),Data!$C$10:$D$16,2,FALSE),"G/표준;;")</f>
        <v>필터교체</v>
      </c>
      <c r="Q348" s="68" t="s">
        <v>37</v>
      </c>
    </row>
    <row r="349" spans="6:17">
      <c r="F349" s="64">
        <v>348</v>
      </c>
      <c r="G349" s="65">
        <f t="shared" si="12"/>
        <v>44178</v>
      </c>
      <c r="H349" s="66">
        <f t="shared" si="11"/>
        <v>44178</v>
      </c>
      <c r="I349" s="72"/>
      <c r="J349" s="73"/>
      <c r="K349" s="73"/>
      <c r="L349" s="73"/>
      <c r="M349" s="73"/>
      <c r="O349" s="72" t="s">
        <v>191</v>
      </c>
      <c r="P349" s="132" t="str">
        <f>TEXT(VLOOKUP(WEEKDAY($H349),Data!$C$10:$D$16,2,FALSE),"G/표준;;")</f>
        <v>다림질, 손코</v>
      </c>
      <c r="Q349" s="68" t="s">
        <v>37</v>
      </c>
    </row>
    <row r="350" spans="6:17">
      <c r="F350" s="64">
        <v>349</v>
      </c>
      <c r="G350" s="65">
        <f t="shared" si="12"/>
        <v>44179</v>
      </c>
      <c r="H350" s="66">
        <f t="shared" si="11"/>
        <v>44179</v>
      </c>
      <c r="I350" s="72"/>
      <c r="J350" s="73"/>
      <c r="K350" s="73"/>
      <c r="L350" s="73"/>
      <c r="M350" s="73"/>
      <c r="O350" s="107" t="s">
        <v>192</v>
      </c>
      <c r="P350" s="132" t="str">
        <f>TEXT(VLOOKUP(WEEKDAY($H350),Data!$C$10:$D$16,2,FALSE),"G/표준;;")</f>
        <v>일반(밤)</v>
      </c>
      <c r="Q350" s="68" t="s">
        <v>37</v>
      </c>
    </row>
    <row r="351" spans="6:17">
      <c r="F351" s="64">
        <v>350</v>
      </c>
      <c r="G351" s="65">
        <f t="shared" si="12"/>
        <v>44180</v>
      </c>
      <c r="H351" s="66">
        <f t="shared" si="11"/>
        <v>44180</v>
      </c>
      <c r="I351" s="72"/>
      <c r="J351" s="73"/>
      <c r="K351" s="73"/>
      <c r="L351" s="73"/>
      <c r="M351" s="73"/>
      <c r="O351" s="72" t="s">
        <v>193</v>
      </c>
      <c r="P351" s="132" t="str">
        <f>TEXT(VLOOKUP(WEEKDAY($H351),Data!$C$10:$D$16,2,FALSE),"G/표준;;")</f>
        <v>노트북</v>
      </c>
      <c r="Q351" s="68" t="s">
        <v>37</v>
      </c>
    </row>
    <row r="352" spans="6:17">
      <c r="F352" s="64">
        <v>351</v>
      </c>
      <c r="G352" s="65">
        <f t="shared" si="12"/>
        <v>44181</v>
      </c>
      <c r="H352" s="66">
        <f t="shared" si="11"/>
        <v>44181</v>
      </c>
      <c r="I352" s="72"/>
      <c r="J352" s="73"/>
      <c r="K352" s="73"/>
      <c r="L352" s="73"/>
      <c r="M352" s="73"/>
      <c r="O352" s="74" t="s">
        <v>194</v>
      </c>
      <c r="P352" s="132" t="str">
        <f>TEXT(VLOOKUP(WEEKDAY($H352),Data!$C$10:$D$16,2,FALSE),"G/표준;;")</f>
        <v>재활용(밤)</v>
      </c>
      <c r="Q352" s="68" t="s">
        <v>37</v>
      </c>
    </row>
    <row r="353" spans="6:17">
      <c r="F353" s="64">
        <v>352</v>
      </c>
      <c r="G353" s="65">
        <f t="shared" si="12"/>
        <v>44182</v>
      </c>
      <c r="H353" s="66">
        <f t="shared" si="11"/>
        <v>44182</v>
      </c>
      <c r="I353" s="72"/>
      <c r="J353" s="73"/>
      <c r="K353" s="73"/>
      <c r="L353" s="73"/>
      <c r="M353" s="73"/>
      <c r="O353" s="74" t="s">
        <v>195</v>
      </c>
      <c r="P353" s="132" t="str">
        <f>TEXT(VLOOKUP(WEEKDAY($H353),Data!$C$10:$D$16,2,FALSE),"G/표준;;")</f>
        <v>일반(밤)</v>
      </c>
      <c r="Q353" s="68" t="s">
        <v>37</v>
      </c>
    </row>
    <row r="354" spans="6:17">
      <c r="F354" s="64">
        <v>353</v>
      </c>
      <c r="G354" s="65">
        <f t="shared" si="12"/>
        <v>44183</v>
      </c>
      <c r="H354" s="66">
        <f t="shared" si="11"/>
        <v>44183</v>
      </c>
      <c r="I354" s="72"/>
      <c r="J354" s="73"/>
      <c r="K354" s="73"/>
      <c r="L354" s="73"/>
      <c r="M354" s="73"/>
      <c r="O354" s="72" t="s">
        <v>196</v>
      </c>
      <c r="P354" s="132" t="str">
        <f>TEXT(VLOOKUP(WEEKDAY($H354),Data!$C$10:$D$16,2,FALSE),"G/표준;;")</f>
        <v>먼지 소독</v>
      </c>
      <c r="Q354" s="68" t="s">
        <v>37</v>
      </c>
    </row>
    <row r="355" spans="6:17">
      <c r="F355" s="64">
        <v>354</v>
      </c>
      <c r="G355" s="65">
        <f t="shared" si="12"/>
        <v>44184</v>
      </c>
      <c r="H355" s="66">
        <f t="shared" si="11"/>
        <v>44184</v>
      </c>
      <c r="I355" s="72"/>
      <c r="J355" s="73"/>
      <c r="K355" s="73"/>
      <c r="L355" s="73"/>
      <c r="M355" s="73"/>
      <c r="O355" s="72" t="s">
        <v>197</v>
      </c>
      <c r="P355" s="132" t="str">
        <f>TEXT(VLOOKUP(WEEKDAY($H355),Data!$C$10:$D$16,2,FALSE),"G/표준;;")</f>
        <v>필터교체</v>
      </c>
      <c r="Q355" s="68" t="s">
        <v>37</v>
      </c>
    </row>
    <row r="356" spans="6:17">
      <c r="F356" s="64">
        <v>355</v>
      </c>
      <c r="G356" s="65">
        <f t="shared" si="12"/>
        <v>44185</v>
      </c>
      <c r="H356" s="66">
        <f t="shared" si="11"/>
        <v>44185</v>
      </c>
      <c r="I356" s="72"/>
      <c r="J356" s="73"/>
      <c r="K356" s="73"/>
      <c r="L356" s="73"/>
      <c r="M356" s="73"/>
      <c r="O356" s="72" t="s">
        <v>198</v>
      </c>
      <c r="P356" s="132" t="str">
        <f>TEXT(VLOOKUP(WEEKDAY($H356),Data!$C$10:$D$16,2,FALSE),"G/표준;;")</f>
        <v>다림질, 손코</v>
      </c>
      <c r="Q356" s="68" t="s">
        <v>37</v>
      </c>
    </row>
    <row r="357" spans="6:17">
      <c r="F357" s="64">
        <v>356</v>
      </c>
      <c r="G357" s="65">
        <f t="shared" si="12"/>
        <v>44186</v>
      </c>
      <c r="H357" s="66">
        <f t="shared" si="11"/>
        <v>44186</v>
      </c>
      <c r="I357" s="72"/>
      <c r="J357" s="73"/>
      <c r="K357" s="73"/>
      <c r="L357" s="73"/>
      <c r="M357" s="73"/>
      <c r="O357" s="96" t="s">
        <v>199</v>
      </c>
      <c r="P357" s="132" t="str">
        <f>TEXT(VLOOKUP(WEEKDAY($H357),Data!$C$10:$D$16,2,FALSE),"G/표준;;")</f>
        <v>일반(밤)</v>
      </c>
      <c r="Q357" s="68" t="s">
        <v>37</v>
      </c>
    </row>
    <row r="358" spans="6:17">
      <c r="F358" s="64">
        <v>357</v>
      </c>
      <c r="G358" s="65">
        <f t="shared" si="12"/>
        <v>44187</v>
      </c>
      <c r="H358" s="66">
        <f t="shared" si="11"/>
        <v>44187</v>
      </c>
      <c r="I358" s="72"/>
      <c r="J358" s="73"/>
      <c r="K358" s="73"/>
      <c r="L358" s="73"/>
      <c r="M358" s="73"/>
      <c r="O358" s="74" t="s">
        <v>200</v>
      </c>
      <c r="P358" s="132" t="str">
        <f>TEXT(VLOOKUP(WEEKDAY($H358),Data!$C$10:$D$16,2,FALSE),"G/표준;;")</f>
        <v>노트북</v>
      </c>
      <c r="Q358" s="68" t="s">
        <v>37</v>
      </c>
    </row>
    <row r="359" spans="6:17">
      <c r="F359" s="64">
        <v>358</v>
      </c>
      <c r="G359" s="65">
        <f t="shared" si="12"/>
        <v>44188</v>
      </c>
      <c r="H359" s="66">
        <f t="shared" si="11"/>
        <v>44188</v>
      </c>
      <c r="I359" s="72"/>
      <c r="J359" s="73"/>
      <c r="K359" s="73"/>
      <c r="L359" s="73"/>
      <c r="M359" s="73"/>
      <c r="O359" s="108" t="s">
        <v>201</v>
      </c>
      <c r="P359" s="132" t="str">
        <f>TEXT(VLOOKUP(WEEKDAY($H359),Data!$C$10:$D$16,2,FALSE),"G/표준;;")</f>
        <v>재활용(밤)</v>
      </c>
      <c r="Q359" s="68" t="s">
        <v>37</v>
      </c>
    </row>
    <row r="360" spans="6:17">
      <c r="F360" s="64">
        <v>359</v>
      </c>
      <c r="G360" s="65">
        <f t="shared" si="12"/>
        <v>44189</v>
      </c>
      <c r="H360" s="66">
        <f t="shared" si="11"/>
        <v>44189</v>
      </c>
      <c r="I360" s="72"/>
      <c r="J360" s="73"/>
      <c r="K360" s="73"/>
      <c r="L360" s="73"/>
      <c r="M360" s="73"/>
      <c r="N360" s="72" t="s">
        <v>36</v>
      </c>
      <c r="O360" s="74" t="s">
        <v>202</v>
      </c>
      <c r="P360" s="132" t="str">
        <f>TEXT(VLOOKUP(WEEKDAY($H360),Data!$C$10:$D$16,2,FALSE),"G/표준;;")</f>
        <v>일반(밤)</v>
      </c>
      <c r="Q360" s="68" t="s">
        <v>37</v>
      </c>
    </row>
    <row r="361" spans="6:17">
      <c r="F361" s="64">
        <v>360</v>
      </c>
      <c r="G361" s="65">
        <f t="shared" si="12"/>
        <v>44190</v>
      </c>
      <c r="H361" s="66">
        <f t="shared" si="11"/>
        <v>44190</v>
      </c>
      <c r="I361" s="72"/>
      <c r="J361" s="73"/>
      <c r="K361" s="73"/>
      <c r="L361" s="73"/>
      <c r="M361" s="73"/>
      <c r="O361" s="72"/>
      <c r="P361" s="132" t="str">
        <f>TEXT(VLOOKUP(WEEKDAY($H361),Data!$C$10:$D$16,2,FALSE),"G/표준;;")</f>
        <v>먼지 소독</v>
      </c>
      <c r="Q361" s="68" t="s">
        <v>37</v>
      </c>
    </row>
    <row r="362" spans="6:17">
      <c r="F362" s="64">
        <v>361</v>
      </c>
      <c r="G362" s="65">
        <f t="shared" si="12"/>
        <v>44191</v>
      </c>
      <c r="H362" s="66">
        <f t="shared" si="11"/>
        <v>44191</v>
      </c>
      <c r="I362" s="72"/>
      <c r="J362" s="73"/>
      <c r="K362" s="73"/>
      <c r="L362" s="73"/>
      <c r="M362" s="73"/>
      <c r="O362" s="72"/>
      <c r="P362" s="132" t="str">
        <f>TEXT(VLOOKUP(WEEKDAY($H362),Data!$C$10:$D$16,2,FALSE),"G/표준;;")</f>
        <v>필터교체</v>
      </c>
      <c r="Q362" s="68" t="s">
        <v>37</v>
      </c>
    </row>
    <row r="363" spans="6:17">
      <c r="F363" s="64">
        <v>362</v>
      </c>
      <c r="G363" s="65">
        <f t="shared" si="12"/>
        <v>44192</v>
      </c>
      <c r="H363" s="66">
        <f t="shared" si="11"/>
        <v>44192</v>
      </c>
      <c r="I363" s="72"/>
      <c r="J363" s="73"/>
      <c r="K363" s="73"/>
      <c r="L363" s="73"/>
      <c r="M363" s="73"/>
      <c r="O363" s="72"/>
      <c r="P363" s="132" t="str">
        <f>TEXT(VLOOKUP(WEEKDAY($H363),Data!$C$10:$D$16,2,FALSE),"G/표준;;")</f>
        <v>다림질, 손코</v>
      </c>
      <c r="Q363" s="68" t="s">
        <v>37</v>
      </c>
    </row>
    <row r="364" spans="6:17">
      <c r="F364" s="64">
        <v>363</v>
      </c>
      <c r="G364" s="65">
        <f t="shared" si="12"/>
        <v>44193</v>
      </c>
      <c r="H364" s="66">
        <f t="shared" si="11"/>
        <v>44193</v>
      </c>
      <c r="I364" s="72"/>
      <c r="J364" s="73"/>
      <c r="K364" s="73"/>
      <c r="L364" s="73"/>
      <c r="M364" s="73"/>
      <c r="O364" s="72"/>
      <c r="P364" s="132" t="str">
        <f>TEXT(VLOOKUP(WEEKDAY($H364),Data!$C$10:$D$16,2,FALSE),"G/표준;;")</f>
        <v>일반(밤)</v>
      </c>
      <c r="Q364" s="68" t="s">
        <v>37</v>
      </c>
    </row>
    <row r="365" spans="6:17">
      <c r="F365" s="64">
        <v>364</v>
      </c>
      <c r="G365" s="65">
        <f t="shared" si="12"/>
        <v>44194</v>
      </c>
      <c r="H365" s="66">
        <f t="shared" si="11"/>
        <v>44194</v>
      </c>
      <c r="I365" s="72"/>
      <c r="J365" s="73"/>
      <c r="K365" s="73"/>
      <c r="L365" s="73"/>
      <c r="M365" s="73"/>
      <c r="O365" s="72"/>
      <c r="P365" s="132" t="str">
        <f>TEXT(VLOOKUP(WEEKDAY($H365),Data!$C$10:$D$16,2,FALSE),"G/표준;;")</f>
        <v>노트북</v>
      </c>
      <c r="Q365" s="68" t="s">
        <v>37</v>
      </c>
    </row>
    <row r="366" spans="6:17">
      <c r="F366" s="64">
        <v>365</v>
      </c>
      <c r="G366" s="65">
        <f t="shared" si="12"/>
        <v>44195</v>
      </c>
      <c r="H366" s="66">
        <f>G366</f>
        <v>44195</v>
      </c>
      <c r="I366" s="72"/>
      <c r="J366" s="73" t="s">
        <v>104</v>
      </c>
      <c r="K366" s="73" t="s">
        <v>36</v>
      </c>
      <c r="L366" s="73"/>
      <c r="M366" s="73"/>
      <c r="O366" s="72"/>
      <c r="P366" s="132" t="str">
        <f>TEXT(VLOOKUP(WEEKDAY($H366),Data!$C$10:$D$16,2,FALSE),"G/표준;;")</f>
        <v>재활용(밤)</v>
      </c>
      <c r="Q366" s="68" t="s">
        <v>37</v>
      </c>
    </row>
    <row r="367" spans="6:17">
      <c r="F367" s="64">
        <v>366</v>
      </c>
      <c r="G367" s="65">
        <f t="shared" si="12"/>
        <v>44196</v>
      </c>
      <c r="H367" s="66">
        <f t="shared" si="11"/>
        <v>44196</v>
      </c>
      <c r="I367" s="72"/>
      <c r="J367" s="73" t="s">
        <v>112</v>
      </c>
      <c r="K367" s="72" t="s">
        <v>36</v>
      </c>
      <c r="L367" s="73"/>
      <c r="M367" s="73"/>
      <c r="O367" s="72"/>
      <c r="P367" s="132" t="str">
        <f>TEXT(VLOOKUP(WEEKDAY($H367),Data!$C$10:$D$16,2,FALSE),"G/표준;;")</f>
        <v>일반(밤)</v>
      </c>
      <c r="Q367" s="68" t="s">
        <v>37</v>
      </c>
    </row>
    <row r="369" spans="15:15">
      <c r="O369" s="134"/>
    </row>
  </sheetData>
  <sheetProtection sheet="1" formatCells="0" formatColumns="0" formatRows="0" insertColumns="0" insertRows="0" insertHyperlinks="0" deleteColumns="0" deleteRows="0" sort="0" autoFilter="0" pivotTables="0"/>
  <protectedRanges>
    <protectedRange sqref="J338:K366 I306:J306 J367 M308:M367 J308:K309 L306:L367 J295 I296:J296 J311:K336 I294:J294 J301:K305 K293:K298 K300 O361:O367 K287:K289 I290:I291 J289 I287:J287 M283:M299 N308:N348 L283:L284 M301:M306 L286:L302 N290:N306 K283:K285 I298:I300 J299 I283:J283" name="Normal"/>
    <protectedRange sqref="N286:N289 I293 K281:L281 K286 J280 N284 M282 J278 I279:J279" name="Normal_1"/>
  </protectedRanges>
  <phoneticPr fontId="43" type="noConversion"/>
  <conditionalFormatting sqref="F1:H1048576">
    <cfRule type="expression" dxfId="7" priority="1">
      <formula>COUNTIF(祝日,$G1)&gt;0</formula>
    </cfRule>
    <cfRule type="expression" dxfId="6" priority="2">
      <formula>WEEKDAY($G1,2)&gt;=6</formula>
    </cfRule>
  </conditionalFormatting>
  <pageMargins left="0.7" right="0.7" top="0.75" bottom="0.75" header="0.3" footer="0.3"/>
  <pageSetup paperSize="9" orientation="portrait" horizontalDpi="4294967292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D5A77-F09E-40C6-A22A-D4C321267FFE}">
  <sheetPr codeName="Sheet4"/>
  <dimension ref="A1:P778"/>
  <sheetViews>
    <sheetView showGridLines="0" zoomScale="115" zoomScaleNormal="115" workbookViewId="0">
      <selection activeCell="L277" sqref="L277"/>
    </sheetView>
  </sheetViews>
  <sheetFormatPr defaultRowHeight="18"/>
  <cols>
    <col min="1" max="1" width="11.4140625" style="71" bestFit="1" customWidth="1"/>
    <col min="2" max="2" width="0" style="70" hidden="1" customWidth="1"/>
    <col min="3" max="3" width="5.5" style="70" hidden="1" customWidth="1"/>
    <col min="4" max="4" width="12.5" style="70" hidden="1" customWidth="1"/>
    <col min="5" max="5" width="0" style="70" hidden="1" customWidth="1"/>
    <col min="6" max="6" width="5" style="64" bestFit="1" customWidth="1"/>
    <col min="7" max="7" width="10.9140625" style="65" bestFit="1" customWidth="1"/>
    <col min="8" max="8" width="5" style="66" bestFit="1" customWidth="1"/>
    <col min="9" max="13" width="8.6640625" style="70"/>
    <col min="14" max="14" width="8.6640625" style="72"/>
    <col min="15" max="15" width="8.6640625" style="70"/>
    <col min="16" max="16" width="8.6640625" style="109"/>
    <col min="17" max="16384" width="8.6640625" style="76"/>
  </cols>
  <sheetData>
    <row r="1" spans="1:16">
      <c r="A1" s="93" t="s">
        <v>91</v>
      </c>
      <c r="B1" s="70" t="s">
        <v>22</v>
      </c>
      <c r="C1" s="70" t="s">
        <v>23</v>
      </c>
      <c r="D1" s="70" t="s">
        <v>24</v>
      </c>
      <c r="E1" s="70" t="s">
        <v>25</v>
      </c>
      <c r="F1" s="69" t="s">
        <v>21</v>
      </c>
      <c r="G1" s="69" t="s">
        <v>22</v>
      </c>
      <c r="H1" s="69" t="s">
        <v>23</v>
      </c>
      <c r="I1" s="69" t="s">
        <v>89</v>
      </c>
      <c r="J1" s="69" t="s">
        <v>90</v>
      </c>
      <c r="K1" s="69" t="s">
        <v>26</v>
      </c>
      <c r="L1" s="69" t="s">
        <v>27</v>
      </c>
      <c r="M1" s="69" t="s">
        <v>28</v>
      </c>
      <c r="N1" s="69" t="s">
        <v>34</v>
      </c>
      <c r="O1" s="69" t="s">
        <v>35</v>
      </c>
      <c r="P1" s="109" t="s">
        <v>36</v>
      </c>
    </row>
    <row r="2" spans="1:16">
      <c r="F2" s="64">
        <v>274</v>
      </c>
      <c r="G2" s="65">
        <v>44104</v>
      </c>
      <c r="H2" s="66">
        <v>44104</v>
      </c>
      <c r="I2" s="72" t="s">
        <v>206</v>
      </c>
      <c r="J2" s="72" t="s">
        <v>207</v>
      </c>
      <c r="P2" s="109" t="s">
        <v>36</v>
      </c>
    </row>
    <row r="3" spans="1:16">
      <c r="A3" s="67"/>
      <c r="F3" s="64">
        <v>275</v>
      </c>
      <c r="G3" s="65">
        <v>44105</v>
      </c>
      <c r="H3" s="66">
        <v>44105</v>
      </c>
      <c r="I3" s="70" t="s">
        <v>208</v>
      </c>
      <c r="P3" s="109" t="s">
        <v>36</v>
      </c>
    </row>
    <row r="4" spans="1:16">
      <c r="A4" s="92"/>
      <c r="P4" s="109" t="s">
        <v>36</v>
      </c>
    </row>
    <row r="5" spans="1:16">
      <c r="A5" s="69"/>
      <c r="E5" s="67"/>
      <c r="P5" s="109" t="s">
        <v>36</v>
      </c>
    </row>
    <row r="6" spans="1:16">
      <c r="A6" s="69"/>
      <c r="P6" s="109" t="s">
        <v>36</v>
      </c>
    </row>
    <row r="7" spans="1:16">
      <c r="P7" s="109" t="s">
        <v>36</v>
      </c>
    </row>
    <row r="8" spans="1:16">
      <c r="P8" s="109" t="s">
        <v>36</v>
      </c>
    </row>
    <row r="9" spans="1:16">
      <c r="P9" s="109" t="s">
        <v>36</v>
      </c>
    </row>
    <row r="10" spans="1:16">
      <c r="C10" s="71"/>
      <c r="E10" s="71"/>
      <c r="I10" s="71"/>
      <c r="K10" s="71"/>
      <c r="M10" s="71"/>
      <c r="P10" s="109" t="s">
        <v>36</v>
      </c>
    </row>
    <row r="11" spans="1:16">
      <c r="P11" s="109" t="s">
        <v>36</v>
      </c>
    </row>
    <row r="12" spans="1:16">
      <c r="C12" s="71"/>
      <c r="E12" s="71"/>
      <c r="I12" s="71"/>
      <c r="K12" s="71"/>
      <c r="M12" s="71"/>
      <c r="P12" s="109" t="s">
        <v>36</v>
      </c>
    </row>
    <row r="13" spans="1:16">
      <c r="P13" s="109" t="s">
        <v>36</v>
      </c>
    </row>
    <row r="14" spans="1:16">
      <c r="C14" s="71"/>
      <c r="E14" s="71"/>
      <c r="I14" s="71"/>
      <c r="K14" s="71"/>
      <c r="M14" s="71"/>
      <c r="P14" s="109" t="s">
        <v>36</v>
      </c>
    </row>
    <row r="15" spans="1:16">
      <c r="P15" s="109" t="s">
        <v>36</v>
      </c>
    </row>
    <row r="16" spans="1:16">
      <c r="C16" s="71"/>
      <c r="E16" s="71"/>
      <c r="I16" s="71"/>
      <c r="K16" s="71"/>
      <c r="M16" s="71"/>
      <c r="P16" s="109" t="s">
        <v>36</v>
      </c>
    </row>
    <row r="17" spans="3:16">
      <c r="P17" s="109" t="s">
        <v>36</v>
      </c>
    </row>
    <row r="18" spans="3:16">
      <c r="C18" s="71"/>
      <c r="E18" s="71"/>
      <c r="I18" s="71"/>
      <c r="K18" s="71"/>
      <c r="M18" s="71"/>
      <c r="P18" s="109" t="s">
        <v>36</v>
      </c>
    </row>
    <row r="19" spans="3:16">
      <c r="P19" s="109" t="s">
        <v>36</v>
      </c>
    </row>
    <row r="20" spans="3:16">
      <c r="C20" s="71"/>
      <c r="P20" s="109" t="s">
        <v>36</v>
      </c>
    </row>
    <row r="21" spans="3:16">
      <c r="P21" s="109" t="s">
        <v>36</v>
      </c>
    </row>
    <row r="22" spans="3:16">
      <c r="P22" s="109" t="s">
        <v>36</v>
      </c>
    </row>
    <row r="23" spans="3:16">
      <c r="P23" s="109" t="s">
        <v>36</v>
      </c>
    </row>
    <row r="24" spans="3:16">
      <c r="P24" s="109" t="s">
        <v>36</v>
      </c>
    </row>
    <row r="25" spans="3:16">
      <c r="P25" s="109" t="s">
        <v>36</v>
      </c>
    </row>
    <row r="26" spans="3:16">
      <c r="P26" s="109" t="s">
        <v>36</v>
      </c>
    </row>
    <row r="27" spans="3:16">
      <c r="P27" s="109" t="s">
        <v>36</v>
      </c>
    </row>
    <row r="28" spans="3:16">
      <c r="P28" s="109" t="s">
        <v>36</v>
      </c>
    </row>
    <row r="29" spans="3:16">
      <c r="P29" s="109" t="s">
        <v>36</v>
      </c>
    </row>
    <row r="30" spans="3:16">
      <c r="P30" s="109" t="s">
        <v>36</v>
      </c>
    </row>
    <row r="31" spans="3:16">
      <c r="P31" s="109" t="s">
        <v>36</v>
      </c>
    </row>
    <row r="32" spans="3:16">
      <c r="P32" s="109" t="s">
        <v>36</v>
      </c>
    </row>
    <row r="33" spans="16:16">
      <c r="P33" s="109" t="s">
        <v>36</v>
      </c>
    </row>
    <row r="34" spans="16:16">
      <c r="P34" s="109" t="s">
        <v>36</v>
      </c>
    </row>
    <row r="35" spans="16:16">
      <c r="P35" s="109" t="s">
        <v>36</v>
      </c>
    </row>
    <row r="36" spans="16:16">
      <c r="P36" s="109" t="s">
        <v>36</v>
      </c>
    </row>
    <row r="37" spans="16:16">
      <c r="P37" s="109" t="s">
        <v>36</v>
      </c>
    </row>
    <row r="38" spans="16:16">
      <c r="P38" s="109" t="s">
        <v>36</v>
      </c>
    </row>
    <row r="39" spans="16:16">
      <c r="P39" s="109" t="s">
        <v>36</v>
      </c>
    </row>
    <row r="40" spans="16:16">
      <c r="P40" s="109" t="s">
        <v>36</v>
      </c>
    </row>
    <row r="41" spans="16:16">
      <c r="P41" s="109" t="s">
        <v>36</v>
      </c>
    </row>
    <row r="42" spans="16:16">
      <c r="P42" s="109" t="s">
        <v>36</v>
      </c>
    </row>
    <row r="43" spans="16:16">
      <c r="P43" s="109" t="s">
        <v>36</v>
      </c>
    </row>
    <row r="44" spans="16:16">
      <c r="P44" s="109" t="s">
        <v>36</v>
      </c>
    </row>
    <row r="45" spans="16:16">
      <c r="P45" s="109" t="s">
        <v>36</v>
      </c>
    </row>
    <row r="46" spans="16:16">
      <c r="P46" s="109" t="s">
        <v>36</v>
      </c>
    </row>
    <row r="47" spans="16:16">
      <c r="P47" s="109" t="s">
        <v>36</v>
      </c>
    </row>
    <row r="48" spans="16:16">
      <c r="P48" s="109" t="s">
        <v>36</v>
      </c>
    </row>
    <row r="49" spans="16:16">
      <c r="P49" s="109" t="s">
        <v>36</v>
      </c>
    </row>
    <row r="50" spans="16:16">
      <c r="P50" s="109" t="s">
        <v>36</v>
      </c>
    </row>
    <row r="51" spans="16:16">
      <c r="P51" s="109" t="s">
        <v>36</v>
      </c>
    </row>
    <row r="52" spans="16:16">
      <c r="P52" s="109" t="s">
        <v>36</v>
      </c>
    </row>
    <row r="53" spans="16:16">
      <c r="P53" s="109" t="s">
        <v>36</v>
      </c>
    </row>
    <row r="54" spans="16:16">
      <c r="P54" s="109" t="s">
        <v>36</v>
      </c>
    </row>
    <row r="55" spans="16:16">
      <c r="P55" s="109" t="s">
        <v>36</v>
      </c>
    </row>
    <row r="56" spans="16:16">
      <c r="P56" s="109" t="s">
        <v>36</v>
      </c>
    </row>
    <row r="57" spans="16:16">
      <c r="P57" s="109" t="s">
        <v>36</v>
      </c>
    </row>
    <row r="58" spans="16:16">
      <c r="P58" s="109" t="s">
        <v>36</v>
      </c>
    </row>
    <row r="59" spans="16:16">
      <c r="P59" s="109" t="s">
        <v>36</v>
      </c>
    </row>
    <row r="60" spans="16:16">
      <c r="P60" s="109" t="s">
        <v>36</v>
      </c>
    </row>
    <row r="61" spans="16:16">
      <c r="P61" s="109" t="s">
        <v>36</v>
      </c>
    </row>
    <row r="62" spans="16:16">
      <c r="P62" s="109" t="s">
        <v>36</v>
      </c>
    </row>
    <row r="63" spans="16:16">
      <c r="P63" s="109" t="s">
        <v>36</v>
      </c>
    </row>
    <row r="64" spans="16:16">
      <c r="P64" s="109" t="s">
        <v>36</v>
      </c>
    </row>
    <row r="65" spans="16:16">
      <c r="P65" s="109" t="s">
        <v>36</v>
      </c>
    </row>
    <row r="66" spans="16:16">
      <c r="P66" s="109" t="s">
        <v>36</v>
      </c>
    </row>
    <row r="67" spans="16:16">
      <c r="P67" s="109" t="s">
        <v>36</v>
      </c>
    </row>
    <row r="68" spans="16:16">
      <c r="P68" s="109" t="s">
        <v>36</v>
      </c>
    </row>
    <row r="69" spans="16:16">
      <c r="P69" s="109" t="s">
        <v>36</v>
      </c>
    </row>
    <row r="70" spans="16:16">
      <c r="P70" s="109" t="s">
        <v>36</v>
      </c>
    </row>
    <row r="71" spans="16:16">
      <c r="P71" s="109" t="s">
        <v>36</v>
      </c>
    </row>
    <row r="72" spans="16:16">
      <c r="P72" s="109" t="s">
        <v>36</v>
      </c>
    </row>
    <row r="73" spans="16:16">
      <c r="P73" s="109" t="s">
        <v>36</v>
      </c>
    </row>
    <row r="74" spans="16:16">
      <c r="P74" s="109" t="s">
        <v>36</v>
      </c>
    </row>
    <row r="75" spans="16:16">
      <c r="P75" s="109" t="s">
        <v>36</v>
      </c>
    </row>
    <row r="76" spans="16:16">
      <c r="P76" s="109" t="s">
        <v>36</v>
      </c>
    </row>
    <row r="77" spans="16:16">
      <c r="P77" s="109" t="s">
        <v>36</v>
      </c>
    </row>
    <row r="78" spans="16:16">
      <c r="P78" s="109" t="s">
        <v>36</v>
      </c>
    </row>
    <row r="79" spans="16:16">
      <c r="P79" s="109" t="s">
        <v>36</v>
      </c>
    </row>
    <row r="80" spans="16:16">
      <c r="P80" s="109" t="s">
        <v>36</v>
      </c>
    </row>
    <row r="81" spans="16:16">
      <c r="P81" s="109" t="s">
        <v>36</v>
      </c>
    </row>
    <row r="82" spans="16:16">
      <c r="P82" s="109" t="s">
        <v>36</v>
      </c>
    </row>
    <row r="83" spans="16:16">
      <c r="P83" s="109" t="s">
        <v>36</v>
      </c>
    </row>
    <row r="84" spans="16:16">
      <c r="P84" s="109" t="s">
        <v>36</v>
      </c>
    </row>
    <row r="85" spans="16:16">
      <c r="P85" s="109" t="s">
        <v>36</v>
      </c>
    </row>
    <row r="86" spans="16:16">
      <c r="P86" s="109" t="s">
        <v>36</v>
      </c>
    </row>
    <row r="87" spans="16:16">
      <c r="P87" s="109" t="s">
        <v>36</v>
      </c>
    </row>
    <row r="88" spans="16:16">
      <c r="P88" s="109" t="s">
        <v>36</v>
      </c>
    </row>
    <row r="89" spans="16:16">
      <c r="P89" s="109" t="s">
        <v>36</v>
      </c>
    </row>
    <row r="90" spans="16:16">
      <c r="P90" s="109" t="s">
        <v>36</v>
      </c>
    </row>
    <row r="91" spans="16:16">
      <c r="P91" s="109" t="s">
        <v>36</v>
      </c>
    </row>
    <row r="92" spans="16:16">
      <c r="P92" s="109" t="s">
        <v>36</v>
      </c>
    </row>
    <row r="93" spans="16:16">
      <c r="P93" s="109" t="s">
        <v>36</v>
      </c>
    </row>
    <row r="94" spans="16:16">
      <c r="P94" s="109" t="s">
        <v>36</v>
      </c>
    </row>
    <row r="95" spans="16:16">
      <c r="P95" s="109" t="s">
        <v>36</v>
      </c>
    </row>
    <row r="96" spans="16:16">
      <c r="P96" s="109" t="s">
        <v>36</v>
      </c>
    </row>
    <row r="97" spans="16:16">
      <c r="P97" s="109" t="s">
        <v>36</v>
      </c>
    </row>
    <row r="98" spans="16:16">
      <c r="P98" s="109" t="s">
        <v>36</v>
      </c>
    </row>
    <row r="99" spans="16:16">
      <c r="P99" s="109" t="s">
        <v>36</v>
      </c>
    </row>
    <row r="100" spans="16:16">
      <c r="P100" s="109" t="s">
        <v>36</v>
      </c>
    </row>
    <row r="101" spans="16:16">
      <c r="P101" s="109" t="s">
        <v>36</v>
      </c>
    </row>
    <row r="102" spans="16:16">
      <c r="P102" s="109" t="s">
        <v>36</v>
      </c>
    </row>
    <row r="103" spans="16:16">
      <c r="P103" s="109" t="s">
        <v>36</v>
      </c>
    </row>
    <row r="104" spans="16:16">
      <c r="P104" s="109" t="s">
        <v>36</v>
      </c>
    </row>
    <row r="105" spans="16:16">
      <c r="P105" s="109" t="s">
        <v>36</v>
      </c>
    </row>
    <row r="106" spans="16:16">
      <c r="P106" s="109" t="s">
        <v>36</v>
      </c>
    </row>
    <row r="107" spans="16:16">
      <c r="P107" s="109" t="s">
        <v>36</v>
      </c>
    </row>
    <row r="108" spans="16:16">
      <c r="P108" s="109" t="s">
        <v>36</v>
      </c>
    </row>
    <row r="109" spans="16:16">
      <c r="P109" s="109" t="s">
        <v>36</v>
      </c>
    </row>
    <row r="110" spans="16:16">
      <c r="P110" s="109" t="s">
        <v>36</v>
      </c>
    </row>
    <row r="111" spans="16:16">
      <c r="P111" s="109" t="s">
        <v>36</v>
      </c>
    </row>
    <row r="112" spans="16:16">
      <c r="P112" s="109" t="s">
        <v>36</v>
      </c>
    </row>
    <row r="113" spans="16:16">
      <c r="P113" s="109" t="s">
        <v>36</v>
      </c>
    </row>
    <row r="114" spans="16:16">
      <c r="P114" s="109" t="s">
        <v>36</v>
      </c>
    </row>
    <row r="115" spans="16:16">
      <c r="P115" s="109" t="s">
        <v>36</v>
      </c>
    </row>
    <row r="116" spans="16:16">
      <c r="P116" s="109" t="s">
        <v>36</v>
      </c>
    </row>
    <row r="117" spans="16:16">
      <c r="P117" s="109" t="s">
        <v>36</v>
      </c>
    </row>
    <row r="118" spans="16:16">
      <c r="P118" s="109" t="s">
        <v>36</v>
      </c>
    </row>
    <row r="119" spans="16:16">
      <c r="P119" s="109" t="s">
        <v>36</v>
      </c>
    </row>
    <row r="120" spans="16:16">
      <c r="P120" s="109" t="s">
        <v>36</v>
      </c>
    </row>
    <row r="121" spans="16:16">
      <c r="P121" s="109" t="s">
        <v>36</v>
      </c>
    </row>
    <row r="122" spans="16:16">
      <c r="P122" s="109" t="s">
        <v>36</v>
      </c>
    </row>
    <row r="123" spans="16:16">
      <c r="P123" s="109" t="s">
        <v>36</v>
      </c>
    </row>
    <row r="124" spans="16:16">
      <c r="P124" s="109" t="s">
        <v>36</v>
      </c>
    </row>
    <row r="125" spans="16:16">
      <c r="P125" s="109" t="s">
        <v>36</v>
      </c>
    </row>
    <row r="126" spans="16:16">
      <c r="P126" s="109" t="s">
        <v>36</v>
      </c>
    </row>
    <row r="127" spans="16:16">
      <c r="P127" s="109" t="s">
        <v>36</v>
      </c>
    </row>
    <row r="128" spans="16:16">
      <c r="P128" s="109" t="s">
        <v>36</v>
      </c>
    </row>
    <row r="129" spans="16:16">
      <c r="P129" s="109" t="s">
        <v>36</v>
      </c>
    </row>
    <row r="130" spans="16:16">
      <c r="P130" s="109" t="s">
        <v>36</v>
      </c>
    </row>
    <row r="131" spans="16:16">
      <c r="P131" s="109" t="s">
        <v>36</v>
      </c>
    </row>
    <row r="132" spans="16:16">
      <c r="P132" s="109" t="s">
        <v>36</v>
      </c>
    </row>
    <row r="133" spans="16:16">
      <c r="P133" s="109" t="s">
        <v>36</v>
      </c>
    </row>
    <row r="134" spans="16:16">
      <c r="P134" s="109" t="s">
        <v>36</v>
      </c>
    </row>
    <row r="135" spans="16:16">
      <c r="P135" s="109" t="s">
        <v>36</v>
      </c>
    </row>
    <row r="136" spans="16:16">
      <c r="P136" s="109" t="s">
        <v>36</v>
      </c>
    </row>
    <row r="137" spans="16:16">
      <c r="P137" s="109" t="s">
        <v>36</v>
      </c>
    </row>
    <row r="138" spans="16:16">
      <c r="P138" s="109" t="s">
        <v>36</v>
      </c>
    </row>
    <row r="139" spans="16:16">
      <c r="P139" s="109" t="s">
        <v>36</v>
      </c>
    </row>
    <row r="140" spans="16:16">
      <c r="P140" s="109" t="s">
        <v>36</v>
      </c>
    </row>
    <row r="141" spans="16:16">
      <c r="P141" s="109" t="s">
        <v>36</v>
      </c>
    </row>
    <row r="142" spans="16:16">
      <c r="P142" s="109" t="s">
        <v>36</v>
      </c>
    </row>
    <row r="143" spans="16:16">
      <c r="P143" s="109" t="s">
        <v>36</v>
      </c>
    </row>
    <row r="144" spans="16:16">
      <c r="P144" s="109" t="s">
        <v>36</v>
      </c>
    </row>
    <row r="145" spans="16:16">
      <c r="P145" s="109" t="s">
        <v>36</v>
      </c>
    </row>
    <row r="146" spans="16:16">
      <c r="P146" s="109" t="s">
        <v>36</v>
      </c>
    </row>
    <row r="147" spans="16:16">
      <c r="P147" s="109" t="s">
        <v>36</v>
      </c>
    </row>
    <row r="148" spans="16:16">
      <c r="P148" s="109" t="s">
        <v>36</v>
      </c>
    </row>
    <row r="149" spans="16:16">
      <c r="P149" s="109" t="s">
        <v>36</v>
      </c>
    </row>
    <row r="150" spans="16:16">
      <c r="P150" s="109" t="s">
        <v>36</v>
      </c>
    </row>
    <row r="151" spans="16:16">
      <c r="P151" s="109" t="s">
        <v>36</v>
      </c>
    </row>
    <row r="152" spans="16:16">
      <c r="P152" s="109" t="s">
        <v>36</v>
      </c>
    </row>
    <row r="153" spans="16:16">
      <c r="P153" s="109" t="s">
        <v>36</v>
      </c>
    </row>
    <row r="154" spans="16:16">
      <c r="P154" s="109" t="s">
        <v>36</v>
      </c>
    </row>
    <row r="155" spans="16:16">
      <c r="P155" s="109" t="s">
        <v>36</v>
      </c>
    </row>
    <row r="156" spans="16:16">
      <c r="P156" s="109" t="s">
        <v>36</v>
      </c>
    </row>
    <row r="157" spans="16:16">
      <c r="P157" s="109" t="s">
        <v>36</v>
      </c>
    </row>
    <row r="158" spans="16:16">
      <c r="P158" s="109" t="s">
        <v>36</v>
      </c>
    </row>
    <row r="159" spans="16:16">
      <c r="P159" s="109" t="s">
        <v>36</v>
      </c>
    </row>
    <row r="160" spans="16:16">
      <c r="P160" s="109" t="s">
        <v>36</v>
      </c>
    </row>
    <row r="161" spans="16:16">
      <c r="P161" s="109" t="s">
        <v>36</v>
      </c>
    </row>
    <row r="162" spans="16:16">
      <c r="P162" s="109" t="s">
        <v>36</v>
      </c>
    </row>
    <row r="163" spans="16:16">
      <c r="P163" s="109" t="s">
        <v>36</v>
      </c>
    </row>
    <row r="164" spans="16:16">
      <c r="P164" s="109" t="s">
        <v>36</v>
      </c>
    </row>
    <row r="165" spans="16:16">
      <c r="P165" s="109" t="s">
        <v>36</v>
      </c>
    </row>
    <row r="166" spans="16:16">
      <c r="P166" s="109" t="s">
        <v>36</v>
      </c>
    </row>
    <row r="167" spans="16:16">
      <c r="P167" s="109" t="s">
        <v>36</v>
      </c>
    </row>
    <row r="168" spans="16:16">
      <c r="P168" s="109" t="s">
        <v>36</v>
      </c>
    </row>
    <row r="169" spans="16:16">
      <c r="P169" s="109" t="s">
        <v>36</v>
      </c>
    </row>
    <row r="170" spans="16:16">
      <c r="P170" s="109" t="s">
        <v>36</v>
      </c>
    </row>
    <row r="171" spans="16:16">
      <c r="P171" s="109" t="s">
        <v>36</v>
      </c>
    </row>
    <row r="172" spans="16:16">
      <c r="P172" s="109" t="s">
        <v>36</v>
      </c>
    </row>
    <row r="173" spans="16:16">
      <c r="P173" s="109" t="s">
        <v>36</v>
      </c>
    </row>
    <row r="174" spans="16:16">
      <c r="P174" s="109" t="s">
        <v>36</v>
      </c>
    </row>
    <row r="175" spans="16:16">
      <c r="P175" s="109" t="s">
        <v>36</v>
      </c>
    </row>
    <row r="176" spans="16:16">
      <c r="P176" s="109" t="s">
        <v>36</v>
      </c>
    </row>
    <row r="177" spans="16:16">
      <c r="P177" s="109" t="s">
        <v>36</v>
      </c>
    </row>
    <row r="178" spans="16:16">
      <c r="P178" s="109" t="s">
        <v>36</v>
      </c>
    </row>
    <row r="179" spans="16:16">
      <c r="P179" s="109" t="s">
        <v>36</v>
      </c>
    </row>
    <row r="180" spans="16:16">
      <c r="P180" s="109" t="s">
        <v>36</v>
      </c>
    </row>
    <row r="181" spans="16:16">
      <c r="P181" s="109" t="s">
        <v>36</v>
      </c>
    </row>
    <row r="182" spans="16:16">
      <c r="P182" s="109" t="s">
        <v>36</v>
      </c>
    </row>
    <row r="183" spans="16:16">
      <c r="P183" s="109" t="s">
        <v>36</v>
      </c>
    </row>
    <row r="184" spans="16:16">
      <c r="P184" s="109" t="s">
        <v>36</v>
      </c>
    </row>
    <row r="185" spans="16:16">
      <c r="P185" s="109" t="s">
        <v>36</v>
      </c>
    </row>
    <row r="186" spans="16:16">
      <c r="P186" s="109" t="s">
        <v>36</v>
      </c>
    </row>
    <row r="187" spans="16:16">
      <c r="P187" s="109" t="s">
        <v>36</v>
      </c>
    </row>
    <row r="188" spans="16:16">
      <c r="P188" s="109" t="s">
        <v>36</v>
      </c>
    </row>
    <row r="189" spans="16:16">
      <c r="P189" s="109" t="s">
        <v>36</v>
      </c>
    </row>
    <row r="190" spans="16:16">
      <c r="P190" s="109" t="s">
        <v>36</v>
      </c>
    </row>
    <row r="191" spans="16:16">
      <c r="P191" s="109" t="s">
        <v>36</v>
      </c>
    </row>
    <row r="192" spans="16:16">
      <c r="P192" s="109" t="s">
        <v>36</v>
      </c>
    </row>
    <row r="193" spans="16:16">
      <c r="P193" s="109" t="s">
        <v>36</v>
      </c>
    </row>
    <row r="194" spans="16:16">
      <c r="P194" s="109" t="s">
        <v>36</v>
      </c>
    </row>
    <row r="195" spans="16:16">
      <c r="P195" s="109" t="s">
        <v>36</v>
      </c>
    </row>
    <row r="196" spans="16:16">
      <c r="P196" s="109" t="s">
        <v>36</v>
      </c>
    </row>
    <row r="197" spans="16:16">
      <c r="P197" s="109" t="s">
        <v>36</v>
      </c>
    </row>
    <row r="198" spans="16:16">
      <c r="P198" s="109" t="s">
        <v>36</v>
      </c>
    </row>
    <row r="199" spans="16:16">
      <c r="P199" s="109" t="s">
        <v>36</v>
      </c>
    </row>
    <row r="200" spans="16:16">
      <c r="P200" s="109" t="s">
        <v>36</v>
      </c>
    </row>
    <row r="201" spans="16:16">
      <c r="P201" s="109" t="s">
        <v>36</v>
      </c>
    </row>
    <row r="202" spans="16:16">
      <c r="P202" s="109" t="s">
        <v>36</v>
      </c>
    </row>
    <row r="203" spans="16:16">
      <c r="P203" s="109" t="s">
        <v>36</v>
      </c>
    </row>
    <row r="204" spans="16:16">
      <c r="P204" s="109" t="s">
        <v>36</v>
      </c>
    </row>
    <row r="205" spans="16:16">
      <c r="P205" s="109" t="s">
        <v>36</v>
      </c>
    </row>
    <row r="206" spans="16:16">
      <c r="P206" s="109" t="s">
        <v>36</v>
      </c>
    </row>
    <row r="207" spans="16:16">
      <c r="P207" s="109" t="s">
        <v>36</v>
      </c>
    </row>
    <row r="208" spans="16:16">
      <c r="P208" s="109" t="s">
        <v>36</v>
      </c>
    </row>
    <row r="209" spans="16:16">
      <c r="P209" s="109" t="s">
        <v>36</v>
      </c>
    </row>
    <row r="210" spans="16:16">
      <c r="P210" s="109" t="s">
        <v>36</v>
      </c>
    </row>
    <row r="211" spans="16:16">
      <c r="P211" s="109" t="s">
        <v>36</v>
      </c>
    </row>
    <row r="212" spans="16:16">
      <c r="P212" s="109" t="s">
        <v>36</v>
      </c>
    </row>
    <row r="213" spans="16:16">
      <c r="P213" s="109" t="s">
        <v>36</v>
      </c>
    </row>
    <row r="214" spans="16:16">
      <c r="P214" s="109" t="s">
        <v>36</v>
      </c>
    </row>
    <row r="215" spans="16:16">
      <c r="P215" s="109" t="s">
        <v>36</v>
      </c>
    </row>
    <row r="216" spans="16:16">
      <c r="P216" s="109" t="s">
        <v>36</v>
      </c>
    </row>
    <row r="217" spans="16:16">
      <c r="P217" s="109" t="s">
        <v>36</v>
      </c>
    </row>
    <row r="218" spans="16:16">
      <c r="P218" s="109" t="s">
        <v>36</v>
      </c>
    </row>
    <row r="219" spans="16:16">
      <c r="P219" s="109" t="s">
        <v>36</v>
      </c>
    </row>
    <row r="220" spans="16:16">
      <c r="P220" s="109" t="s">
        <v>36</v>
      </c>
    </row>
    <row r="221" spans="16:16">
      <c r="P221" s="109" t="s">
        <v>36</v>
      </c>
    </row>
    <row r="222" spans="16:16">
      <c r="P222" s="109" t="s">
        <v>36</v>
      </c>
    </row>
    <row r="223" spans="16:16">
      <c r="P223" s="109" t="s">
        <v>36</v>
      </c>
    </row>
    <row r="224" spans="16:16">
      <c r="P224" s="109" t="s">
        <v>36</v>
      </c>
    </row>
    <row r="225" spans="16:16">
      <c r="P225" s="109" t="s">
        <v>36</v>
      </c>
    </row>
    <row r="226" spans="16:16">
      <c r="P226" s="109" t="s">
        <v>36</v>
      </c>
    </row>
    <row r="227" spans="16:16">
      <c r="P227" s="109" t="s">
        <v>36</v>
      </c>
    </row>
    <row r="228" spans="16:16">
      <c r="P228" s="109" t="s">
        <v>36</v>
      </c>
    </row>
    <row r="229" spans="16:16">
      <c r="P229" s="109" t="s">
        <v>36</v>
      </c>
    </row>
    <row r="230" spans="16:16">
      <c r="P230" s="109" t="s">
        <v>36</v>
      </c>
    </row>
    <row r="231" spans="16:16">
      <c r="P231" s="109" t="s">
        <v>36</v>
      </c>
    </row>
    <row r="232" spans="16:16">
      <c r="P232" s="109" t="s">
        <v>36</v>
      </c>
    </row>
    <row r="233" spans="16:16">
      <c r="P233" s="109" t="s">
        <v>36</v>
      </c>
    </row>
    <row r="234" spans="16:16">
      <c r="P234" s="109" t="s">
        <v>36</v>
      </c>
    </row>
    <row r="235" spans="16:16">
      <c r="P235" s="109" t="s">
        <v>36</v>
      </c>
    </row>
    <row r="236" spans="16:16">
      <c r="P236" s="109" t="s">
        <v>36</v>
      </c>
    </row>
    <row r="237" spans="16:16">
      <c r="P237" s="109" t="s">
        <v>36</v>
      </c>
    </row>
    <row r="238" spans="16:16">
      <c r="P238" s="109" t="s">
        <v>36</v>
      </c>
    </row>
    <row r="239" spans="16:16">
      <c r="P239" s="109" t="s">
        <v>36</v>
      </c>
    </row>
    <row r="240" spans="16:16">
      <c r="P240" s="109" t="s">
        <v>36</v>
      </c>
    </row>
    <row r="241" spans="16:16">
      <c r="P241" s="109" t="s">
        <v>36</v>
      </c>
    </row>
    <row r="242" spans="16:16">
      <c r="P242" s="109" t="s">
        <v>36</v>
      </c>
    </row>
    <row r="243" spans="16:16">
      <c r="P243" s="109" t="s">
        <v>36</v>
      </c>
    </row>
    <row r="244" spans="16:16">
      <c r="P244" s="109" t="s">
        <v>36</v>
      </c>
    </row>
    <row r="245" spans="16:16">
      <c r="P245" s="109" t="s">
        <v>36</v>
      </c>
    </row>
    <row r="246" spans="16:16">
      <c r="P246" s="109" t="s">
        <v>36</v>
      </c>
    </row>
    <row r="247" spans="16:16">
      <c r="P247" s="109" t="s">
        <v>36</v>
      </c>
    </row>
    <row r="248" spans="16:16">
      <c r="P248" s="109" t="s">
        <v>36</v>
      </c>
    </row>
    <row r="249" spans="16:16">
      <c r="P249" s="109" t="s">
        <v>36</v>
      </c>
    </row>
    <row r="250" spans="16:16">
      <c r="P250" s="109" t="s">
        <v>36</v>
      </c>
    </row>
    <row r="251" spans="16:16">
      <c r="P251" s="109" t="s">
        <v>36</v>
      </c>
    </row>
    <row r="252" spans="16:16">
      <c r="P252" s="109" t="s">
        <v>36</v>
      </c>
    </row>
    <row r="253" spans="16:16">
      <c r="P253" s="109" t="s">
        <v>36</v>
      </c>
    </row>
    <row r="254" spans="16:16">
      <c r="P254" s="109" t="s">
        <v>36</v>
      </c>
    </row>
    <row r="255" spans="16:16">
      <c r="P255" s="109" t="s">
        <v>36</v>
      </c>
    </row>
    <row r="256" spans="16:16">
      <c r="P256" s="109" t="s">
        <v>36</v>
      </c>
    </row>
    <row r="257" spans="16:16">
      <c r="P257" s="109" t="s">
        <v>36</v>
      </c>
    </row>
    <row r="258" spans="16:16">
      <c r="P258" s="109" t="s">
        <v>36</v>
      </c>
    </row>
    <row r="259" spans="16:16">
      <c r="P259" s="109" t="s">
        <v>36</v>
      </c>
    </row>
    <row r="260" spans="16:16">
      <c r="P260" s="109" t="s">
        <v>36</v>
      </c>
    </row>
    <row r="261" spans="16:16">
      <c r="P261" s="109" t="s">
        <v>36</v>
      </c>
    </row>
    <row r="262" spans="16:16">
      <c r="P262" s="109" t="s">
        <v>36</v>
      </c>
    </row>
    <row r="263" spans="16:16">
      <c r="P263" s="109" t="s">
        <v>36</v>
      </c>
    </row>
    <row r="264" spans="16:16">
      <c r="P264" s="109" t="s">
        <v>36</v>
      </c>
    </row>
    <row r="265" spans="16:16">
      <c r="P265" s="109" t="s">
        <v>36</v>
      </c>
    </row>
    <row r="266" spans="16:16">
      <c r="P266" s="109" t="s">
        <v>36</v>
      </c>
    </row>
    <row r="267" spans="16:16">
      <c r="P267" s="109" t="s">
        <v>36</v>
      </c>
    </row>
    <row r="268" spans="16:16">
      <c r="P268" s="109" t="s">
        <v>36</v>
      </c>
    </row>
    <row r="269" spans="16:16">
      <c r="P269" s="109" t="s">
        <v>36</v>
      </c>
    </row>
    <row r="270" spans="16:16">
      <c r="P270" s="109" t="s">
        <v>36</v>
      </c>
    </row>
    <row r="271" spans="16:16">
      <c r="P271" s="109" t="s">
        <v>36</v>
      </c>
    </row>
    <row r="272" spans="16:16">
      <c r="P272" s="109" t="s">
        <v>36</v>
      </c>
    </row>
    <row r="273" spans="9:16">
      <c r="P273" s="109" t="s">
        <v>36</v>
      </c>
    </row>
    <row r="274" spans="9:16">
      <c r="N274" s="70"/>
      <c r="P274" s="109" t="s">
        <v>36</v>
      </c>
    </row>
    <row r="275" spans="9:16">
      <c r="I275" s="72"/>
      <c r="J275" s="72"/>
      <c r="K275" s="72"/>
      <c r="M275" s="72"/>
      <c r="O275" s="72"/>
      <c r="P275" s="109" t="s">
        <v>36</v>
      </c>
    </row>
    <row r="276" spans="9:16">
      <c r="J276" s="72"/>
      <c r="K276" s="73"/>
      <c r="L276" s="72"/>
      <c r="P276" s="109" t="s">
        <v>36</v>
      </c>
    </row>
    <row r="277" spans="9:16">
      <c r="I277" s="72"/>
      <c r="J277" s="72"/>
      <c r="K277" s="94"/>
      <c r="L277" s="73"/>
      <c r="M277" s="72"/>
      <c r="N277" s="73"/>
      <c r="O277" s="72"/>
      <c r="P277" s="109" t="s">
        <v>36</v>
      </c>
    </row>
    <row r="278" spans="9:16">
      <c r="I278" s="73"/>
      <c r="J278" s="73"/>
      <c r="K278" s="72"/>
      <c r="L278" s="72"/>
      <c r="M278" s="72"/>
      <c r="N278" s="73"/>
      <c r="O278" s="72"/>
      <c r="P278" s="109" t="s">
        <v>36</v>
      </c>
    </row>
    <row r="279" spans="9:16">
      <c r="I279" s="72"/>
      <c r="J279" s="72"/>
      <c r="K279" s="73"/>
      <c r="L279" s="72"/>
      <c r="M279" s="72"/>
      <c r="N279" s="73"/>
      <c r="O279" s="72"/>
      <c r="P279" s="109" t="s">
        <v>36</v>
      </c>
    </row>
    <row r="280" spans="9:16">
      <c r="I280" s="73"/>
      <c r="J280" s="72"/>
      <c r="K280" s="72"/>
      <c r="L280" s="73"/>
      <c r="M280" s="72"/>
      <c r="N280" s="73"/>
      <c r="O280" s="72"/>
      <c r="P280" s="109" t="s">
        <v>36</v>
      </c>
    </row>
    <row r="281" spans="9:16">
      <c r="I281" s="72"/>
      <c r="J281" s="73"/>
      <c r="K281" s="73"/>
      <c r="M281" s="72"/>
      <c r="N281" s="73"/>
      <c r="O281" s="72"/>
      <c r="P281" s="109" t="s">
        <v>36</v>
      </c>
    </row>
    <row r="282" spans="9:16">
      <c r="I282" s="72"/>
      <c r="J282" s="72"/>
      <c r="K282" s="73"/>
      <c r="L282" s="73"/>
      <c r="M282" s="72"/>
      <c r="N282" s="73"/>
      <c r="P282" s="109" t="s">
        <v>36</v>
      </c>
    </row>
    <row r="283" spans="9:16">
      <c r="I283" s="73"/>
      <c r="J283" s="73"/>
      <c r="K283" s="73"/>
      <c r="L283" s="73"/>
      <c r="M283" s="72"/>
      <c r="N283" s="73"/>
      <c r="O283" s="72"/>
      <c r="P283" s="109" t="s">
        <v>36</v>
      </c>
    </row>
    <row r="284" spans="9:16">
      <c r="I284" s="73"/>
      <c r="K284" s="73"/>
      <c r="L284" s="73"/>
      <c r="M284" s="72"/>
      <c r="N284" s="73"/>
      <c r="O284" s="72"/>
      <c r="P284" s="109" t="s">
        <v>36</v>
      </c>
    </row>
    <row r="285" spans="9:16">
      <c r="I285" s="72"/>
      <c r="K285" s="73"/>
      <c r="L285" s="72"/>
      <c r="M285" s="72"/>
      <c r="N285" s="73"/>
      <c r="O285" s="72"/>
      <c r="P285" s="109" t="s">
        <v>36</v>
      </c>
    </row>
    <row r="286" spans="9:16">
      <c r="I286" s="72"/>
      <c r="J286" s="72"/>
      <c r="K286" s="73"/>
      <c r="L286" s="73"/>
      <c r="M286" s="72"/>
      <c r="N286" s="73"/>
      <c r="O286" s="72"/>
      <c r="P286" s="109" t="s">
        <v>36</v>
      </c>
    </row>
    <row r="287" spans="9:16">
      <c r="I287" s="73"/>
      <c r="J287" s="73"/>
      <c r="K287" s="73"/>
      <c r="L287" s="73"/>
      <c r="M287" s="72"/>
      <c r="N287" s="73"/>
      <c r="O287" s="72"/>
      <c r="P287" s="109" t="s">
        <v>36</v>
      </c>
    </row>
    <row r="288" spans="9:16">
      <c r="K288" s="73"/>
      <c r="L288" s="73"/>
      <c r="M288" s="72"/>
      <c r="N288" s="73"/>
      <c r="O288" s="72"/>
      <c r="P288" s="109" t="s">
        <v>36</v>
      </c>
    </row>
    <row r="289" spans="9:16">
      <c r="I289" s="72"/>
      <c r="J289" s="73"/>
      <c r="K289" s="73"/>
      <c r="L289" s="73"/>
      <c r="M289" s="72"/>
      <c r="N289" s="73"/>
      <c r="P289" s="109" t="s">
        <v>36</v>
      </c>
    </row>
    <row r="290" spans="9:16">
      <c r="I290" s="94"/>
      <c r="J290" s="72"/>
      <c r="K290" s="72"/>
      <c r="L290" s="73"/>
      <c r="M290" s="72"/>
      <c r="N290" s="73"/>
      <c r="O290" s="72"/>
      <c r="P290" s="109" t="s">
        <v>36</v>
      </c>
    </row>
    <row r="291" spans="9:16">
      <c r="I291" s="73"/>
      <c r="K291" s="72"/>
      <c r="L291" s="73"/>
      <c r="M291" s="72"/>
      <c r="N291" s="73"/>
      <c r="P291" s="109" t="s">
        <v>36</v>
      </c>
    </row>
    <row r="292" spans="9:16">
      <c r="I292" s="72"/>
      <c r="J292" s="73"/>
      <c r="K292" s="72"/>
      <c r="L292" s="73"/>
      <c r="M292" s="72"/>
      <c r="N292" s="73"/>
      <c r="P292" s="109" t="s">
        <v>36</v>
      </c>
    </row>
    <row r="293" spans="9:16">
      <c r="I293" s="73"/>
      <c r="J293" s="72"/>
      <c r="K293" s="73"/>
      <c r="L293" s="73"/>
      <c r="M293" s="72"/>
      <c r="N293" s="73"/>
      <c r="P293" s="109" t="s">
        <v>36</v>
      </c>
    </row>
    <row r="294" spans="9:16">
      <c r="I294" s="73"/>
      <c r="J294" s="73"/>
      <c r="K294" s="73"/>
      <c r="L294" s="73"/>
      <c r="M294" s="72"/>
      <c r="N294" s="73"/>
      <c r="P294" s="109" t="s">
        <v>36</v>
      </c>
    </row>
    <row r="295" spans="9:16">
      <c r="I295" s="72"/>
      <c r="J295" s="73"/>
      <c r="K295" s="73"/>
      <c r="L295" s="73"/>
      <c r="M295" s="72"/>
      <c r="N295" s="73"/>
      <c r="P295" s="109" t="s">
        <v>36</v>
      </c>
    </row>
    <row r="296" spans="9:16">
      <c r="I296" s="73"/>
      <c r="J296" s="73"/>
      <c r="K296" s="73"/>
      <c r="L296" s="73"/>
      <c r="M296" s="72"/>
      <c r="N296" s="73"/>
      <c r="P296" s="109" t="s">
        <v>36</v>
      </c>
    </row>
    <row r="297" spans="9:16">
      <c r="I297" s="72"/>
      <c r="J297" s="72"/>
      <c r="K297" s="73"/>
      <c r="L297" s="73"/>
      <c r="M297" s="72"/>
      <c r="N297" s="73"/>
      <c r="P297" s="109" t="s">
        <v>36</v>
      </c>
    </row>
    <row r="298" spans="9:16">
      <c r="I298" s="73"/>
      <c r="J298" s="73"/>
      <c r="K298" s="73"/>
      <c r="L298" s="73"/>
      <c r="M298" s="72"/>
      <c r="N298" s="73"/>
      <c r="P298" s="109" t="s">
        <v>36</v>
      </c>
    </row>
    <row r="299" spans="9:16">
      <c r="I299" s="73"/>
      <c r="J299" s="73"/>
      <c r="K299" s="72"/>
      <c r="L299" s="73"/>
      <c r="M299" s="72"/>
      <c r="N299" s="73"/>
      <c r="P299" s="109" t="s">
        <v>36</v>
      </c>
    </row>
    <row r="300" spans="9:16">
      <c r="I300" s="73"/>
      <c r="J300" s="72"/>
      <c r="K300" s="73"/>
      <c r="L300" s="73"/>
      <c r="M300" s="72"/>
      <c r="P300" s="109" t="s">
        <v>36</v>
      </c>
    </row>
    <row r="301" spans="9:16">
      <c r="I301" s="72"/>
      <c r="J301" s="73"/>
      <c r="K301" s="73"/>
      <c r="L301" s="73"/>
      <c r="M301" s="73"/>
      <c r="N301" s="73"/>
      <c r="P301" s="109" t="s">
        <v>36</v>
      </c>
    </row>
    <row r="302" spans="9:16">
      <c r="I302" s="72"/>
      <c r="J302" s="73"/>
      <c r="K302" s="73"/>
      <c r="L302" s="73"/>
      <c r="M302" s="73"/>
      <c r="N302" s="73"/>
      <c r="P302" s="109" t="s">
        <v>36</v>
      </c>
    </row>
    <row r="303" spans="9:16">
      <c r="I303" s="72"/>
      <c r="J303" s="73"/>
      <c r="K303" s="73"/>
      <c r="L303" s="72"/>
      <c r="M303" s="73"/>
      <c r="N303" s="73"/>
      <c r="P303" s="109" t="s">
        <v>36</v>
      </c>
    </row>
    <row r="304" spans="9:16">
      <c r="I304" s="72"/>
      <c r="J304" s="73"/>
      <c r="K304" s="73"/>
      <c r="L304" s="72"/>
      <c r="M304" s="73"/>
      <c r="N304" s="73"/>
      <c r="P304" s="109" t="s">
        <v>36</v>
      </c>
    </row>
    <row r="305" spans="9:16">
      <c r="I305" s="72"/>
      <c r="J305" s="73"/>
      <c r="K305" s="73"/>
      <c r="L305" s="72"/>
      <c r="M305" s="73"/>
      <c r="N305" s="73"/>
      <c r="P305" s="109" t="s">
        <v>36</v>
      </c>
    </row>
    <row r="306" spans="9:16">
      <c r="I306" s="73"/>
      <c r="J306" s="73"/>
      <c r="K306" s="72"/>
      <c r="L306" s="73"/>
      <c r="M306" s="73"/>
      <c r="N306" s="73"/>
      <c r="O306" s="72"/>
      <c r="P306" s="109" t="s">
        <v>36</v>
      </c>
    </row>
    <row r="307" spans="9:16">
      <c r="I307" s="72"/>
      <c r="J307" s="72"/>
      <c r="K307" s="72"/>
      <c r="L307" s="73"/>
      <c r="M307" s="72"/>
      <c r="N307" s="73"/>
      <c r="P307" s="109" t="s">
        <v>36</v>
      </c>
    </row>
    <row r="308" spans="9:16">
      <c r="I308" s="72"/>
      <c r="J308" s="73"/>
      <c r="K308" s="73"/>
      <c r="L308" s="73"/>
      <c r="M308" s="73"/>
      <c r="N308" s="73"/>
      <c r="P308" s="109" t="s">
        <v>36</v>
      </c>
    </row>
    <row r="309" spans="9:16">
      <c r="I309" s="72"/>
      <c r="J309" s="73"/>
      <c r="K309" s="73"/>
      <c r="L309" s="73"/>
      <c r="M309" s="73"/>
      <c r="N309" s="73"/>
      <c r="P309" s="109" t="s">
        <v>36</v>
      </c>
    </row>
    <row r="310" spans="9:16">
      <c r="I310" s="72"/>
      <c r="J310" s="72"/>
      <c r="K310" s="72"/>
      <c r="L310" s="73"/>
      <c r="M310" s="73"/>
      <c r="N310" s="73"/>
      <c r="P310" s="109" t="s">
        <v>36</v>
      </c>
    </row>
    <row r="311" spans="9:16">
      <c r="I311" s="72"/>
      <c r="J311" s="73"/>
      <c r="K311" s="73"/>
      <c r="L311" s="73"/>
      <c r="M311" s="73"/>
      <c r="N311" s="73"/>
      <c r="P311" s="109" t="s">
        <v>36</v>
      </c>
    </row>
    <row r="312" spans="9:16">
      <c r="I312" s="72"/>
      <c r="J312" s="73"/>
      <c r="K312" s="73"/>
      <c r="L312" s="73"/>
      <c r="M312" s="73"/>
      <c r="N312" s="73"/>
      <c r="P312" s="109" t="s">
        <v>36</v>
      </c>
    </row>
    <row r="313" spans="9:16">
      <c r="I313" s="72"/>
      <c r="J313" s="73"/>
      <c r="K313" s="73"/>
      <c r="L313" s="73"/>
      <c r="M313" s="73"/>
      <c r="N313" s="73"/>
      <c r="P313" s="109" t="s">
        <v>36</v>
      </c>
    </row>
    <row r="314" spans="9:16">
      <c r="I314" s="72"/>
      <c r="J314" s="73"/>
      <c r="K314" s="73"/>
      <c r="L314" s="73"/>
      <c r="M314" s="73"/>
      <c r="N314" s="73"/>
      <c r="P314" s="109" t="s">
        <v>36</v>
      </c>
    </row>
    <row r="315" spans="9:16">
      <c r="I315" s="72"/>
      <c r="J315" s="73"/>
      <c r="K315" s="73"/>
      <c r="L315" s="73"/>
      <c r="M315" s="73"/>
      <c r="N315" s="73"/>
      <c r="P315" s="109" t="s">
        <v>36</v>
      </c>
    </row>
    <row r="316" spans="9:16">
      <c r="I316" s="72"/>
      <c r="J316" s="73"/>
      <c r="K316" s="73"/>
      <c r="L316" s="73"/>
      <c r="M316" s="73"/>
      <c r="N316" s="73"/>
      <c r="P316" s="109" t="s">
        <v>36</v>
      </c>
    </row>
    <row r="317" spans="9:16">
      <c r="I317" s="72"/>
      <c r="J317" s="73"/>
      <c r="K317" s="73"/>
      <c r="L317" s="73"/>
      <c r="M317" s="73"/>
      <c r="N317" s="73"/>
      <c r="P317" s="109" t="s">
        <v>36</v>
      </c>
    </row>
    <row r="318" spans="9:16">
      <c r="I318" s="72"/>
      <c r="J318" s="73"/>
      <c r="K318" s="73"/>
      <c r="L318" s="73"/>
      <c r="M318" s="73"/>
      <c r="N318" s="73"/>
      <c r="P318" s="109" t="s">
        <v>36</v>
      </c>
    </row>
    <row r="319" spans="9:16">
      <c r="I319" s="72"/>
      <c r="J319" s="73"/>
      <c r="K319" s="73"/>
      <c r="L319" s="73"/>
      <c r="M319" s="73"/>
      <c r="N319" s="73"/>
      <c r="P319" s="109" t="s">
        <v>36</v>
      </c>
    </row>
    <row r="320" spans="9:16">
      <c r="I320" s="72"/>
      <c r="J320" s="73"/>
      <c r="K320" s="73"/>
      <c r="L320" s="73"/>
      <c r="M320" s="73"/>
      <c r="N320" s="73"/>
      <c r="P320" s="109" t="s">
        <v>36</v>
      </c>
    </row>
    <row r="321" spans="9:16">
      <c r="I321" s="72"/>
      <c r="J321" s="73"/>
      <c r="K321" s="73"/>
      <c r="L321" s="73"/>
      <c r="M321" s="73"/>
      <c r="N321" s="73"/>
      <c r="P321" s="109" t="s">
        <v>36</v>
      </c>
    </row>
    <row r="322" spans="9:16">
      <c r="I322" s="72"/>
      <c r="J322" s="73"/>
      <c r="K322" s="73"/>
      <c r="L322" s="73"/>
      <c r="M322" s="73"/>
      <c r="N322" s="73"/>
      <c r="P322" s="109" t="s">
        <v>36</v>
      </c>
    </row>
    <row r="323" spans="9:16">
      <c r="I323" s="72"/>
      <c r="J323" s="73"/>
      <c r="K323" s="73"/>
      <c r="L323" s="73"/>
      <c r="M323" s="73"/>
      <c r="N323" s="73"/>
      <c r="P323" s="109" t="s">
        <v>36</v>
      </c>
    </row>
    <row r="324" spans="9:16">
      <c r="I324" s="72"/>
      <c r="J324" s="73"/>
      <c r="K324" s="73"/>
      <c r="L324" s="73"/>
      <c r="M324" s="73"/>
      <c r="N324" s="73"/>
      <c r="P324" s="109" t="s">
        <v>36</v>
      </c>
    </row>
    <row r="325" spans="9:16">
      <c r="I325" s="72"/>
      <c r="J325" s="73"/>
      <c r="K325" s="73"/>
      <c r="L325" s="73"/>
      <c r="M325" s="73"/>
      <c r="N325" s="73"/>
      <c r="P325" s="109" t="s">
        <v>36</v>
      </c>
    </row>
    <row r="326" spans="9:16">
      <c r="I326" s="72"/>
      <c r="J326" s="73"/>
      <c r="K326" s="72"/>
      <c r="L326" s="73"/>
      <c r="M326" s="73"/>
      <c r="N326" s="73"/>
      <c r="P326" s="109" t="s">
        <v>36</v>
      </c>
    </row>
    <row r="327" spans="9:16">
      <c r="I327" s="72"/>
      <c r="J327" s="73"/>
      <c r="K327" s="73"/>
      <c r="L327" s="73"/>
      <c r="M327" s="73"/>
      <c r="N327" s="73"/>
      <c r="P327" s="109" t="s">
        <v>36</v>
      </c>
    </row>
    <row r="328" spans="9:16">
      <c r="I328" s="72"/>
      <c r="J328" s="73"/>
      <c r="K328" s="73"/>
      <c r="L328" s="73"/>
      <c r="M328" s="73"/>
      <c r="N328" s="73"/>
      <c r="P328" s="109" t="s">
        <v>36</v>
      </c>
    </row>
    <row r="329" spans="9:16">
      <c r="I329" s="72"/>
      <c r="J329" s="73"/>
      <c r="K329" s="73"/>
      <c r="L329" s="73"/>
      <c r="M329" s="73"/>
      <c r="N329" s="73"/>
      <c r="P329" s="109" t="s">
        <v>36</v>
      </c>
    </row>
    <row r="330" spans="9:16">
      <c r="I330" s="72"/>
      <c r="J330" s="73"/>
      <c r="K330" s="73"/>
      <c r="L330" s="73"/>
      <c r="M330" s="73"/>
      <c r="N330" s="73"/>
      <c r="P330" s="109" t="s">
        <v>36</v>
      </c>
    </row>
    <row r="331" spans="9:16">
      <c r="I331" s="72"/>
      <c r="J331" s="73"/>
      <c r="K331" s="73"/>
      <c r="L331" s="73"/>
      <c r="M331" s="73"/>
      <c r="N331" s="73"/>
      <c r="P331" s="109" t="s">
        <v>36</v>
      </c>
    </row>
    <row r="332" spans="9:16">
      <c r="I332" s="72"/>
      <c r="J332" s="73"/>
      <c r="K332" s="73"/>
      <c r="L332" s="73"/>
      <c r="M332" s="73"/>
      <c r="N332" s="73"/>
      <c r="P332" s="109" t="s">
        <v>36</v>
      </c>
    </row>
    <row r="333" spans="9:16">
      <c r="I333" s="72"/>
      <c r="J333" s="73"/>
      <c r="K333" s="73"/>
      <c r="L333" s="73"/>
      <c r="M333" s="73"/>
      <c r="N333" s="73"/>
      <c r="P333" s="109" t="s">
        <v>36</v>
      </c>
    </row>
    <row r="334" spans="9:16">
      <c r="I334" s="72"/>
      <c r="J334" s="73"/>
      <c r="K334" s="73"/>
      <c r="L334" s="73"/>
      <c r="M334" s="73"/>
      <c r="N334" s="73"/>
      <c r="P334" s="109" t="s">
        <v>36</v>
      </c>
    </row>
    <row r="335" spans="9:16">
      <c r="I335" s="72"/>
      <c r="J335" s="73"/>
      <c r="K335" s="73"/>
      <c r="L335" s="73"/>
      <c r="M335" s="73"/>
      <c r="N335" s="73"/>
      <c r="P335" s="109" t="s">
        <v>36</v>
      </c>
    </row>
    <row r="336" spans="9:16">
      <c r="I336" s="72"/>
      <c r="J336" s="73"/>
      <c r="K336" s="73"/>
      <c r="L336" s="73"/>
      <c r="M336" s="73"/>
      <c r="N336" s="73"/>
      <c r="O336" s="72"/>
      <c r="P336" s="109" t="s">
        <v>36</v>
      </c>
    </row>
    <row r="337" spans="9:16">
      <c r="I337" s="72"/>
      <c r="J337" s="72"/>
      <c r="K337" s="72"/>
      <c r="L337" s="73"/>
      <c r="M337" s="73"/>
      <c r="N337" s="73"/>
      <c r="O337" s="72"/>
      <c r="P337" s="109" t="s">
        <v>36</v>
      </c>
    </row>
    <row r="338" spans="9:16">
      <c r="I338" s="72"/>
      <c r="J338" s="73"/>
      <c r="K338" s="73"/>
      <c r="L338" s="73"/>
      <c r="M338" s="73"/>
      <c r="N338" s="73"/>
      <c r="O338" s="72"/>
      <c r="P338" s="109" t="s">
        <v>36</v>
      </c>
    </row>
    <row r="339" spans="9:16">
      <c r="I339" s="72"/>
      <c r="J339" s="73"/>
      <c r="K339" s="73"/>
      <c r="L339" s="73"/>
      <c r="M339" s="73"/>
      <c r="N339" s="73"/>
      <c r="O339" s="72"/>
      <c r="P339" s="109" t="s">
        <v>36</v>
      </c>
    </row>
    <row r="340" spans="9:16">
      <c r="I340" s="72"/>
      <c r="J340" s="73"/>
      <c r="K340" s="73"/>
      <c r="L340" s="73"/>
      <c r="M340" s="73"/>
      <c r="N340" s="73"/>
      <c r="O340" s="72"/>
      <c r="P340" s="109" t="s">
        <v>36</v>
      </c>
    </row>
    <row r="341" spans="9:16">
      <c r="I341" s="72"/>
      <c r="J341" s="73"/>
      <c r="K341" s="73"/>
      <c r="L341" s="73"/>
      <c r="M341" s="73"/>
      <c r="N341" s="73"/>
      <c r="O341" s="72"/>
      <c r="P341" s="109" t="s">
        <v>36</v>
      </c>
    </row>
    <row r="342" spans="9:16">
      <c r="I342" s="72"/>
      <c r="J342" s="73"/>
      <c r="K342" s="73"/>
      <c r="L342" s="73"/>
      <c r="M342" s="73"/>
      <c r="O342" s="72"/>
      <c r="P342" s="109" t="s">
        <v>36</v>
      </c>
    </row>
    <row r="343" spans="9:16">
      <c r="I343" s="72"/>
      <c r="J343" s="73"/>
      <c r="K343" s="73"/>
      <c r="L343" s="73"/>
      <c r="M343" s="73"/>
      <c r="O343" s="72"/>
      <c r="P343" s="109" t="s">
        <v>36</v>
      </c>
    </row>
    <row r="344" spans="9:16">
      <c r="I344" s="72"/>
      <c r="J344" s="73"/>
      <c r="K344" s="73"/>
      <c r="L344" s="73"/>
      <c r="M344" s="73"/>
      <c r="O344" s="72"/>
      <c r="P344" s="109" t="s">
        <v>36</v>
      </c>
    </row>
    <row r="345" spans="9:16">
      <c r="I345" s="72"/>
      <c r="J345" s="73"/>
      <c r="K345" s="73"/>
      <c r="L345" s="73"/>
      <c r="M345" s="73"/>
      <c r="O345" s="72"/>
      <c r="P345" s="109" t="s">
        <v>36</v>
      </c>
    </row>
    <row r="346" spans="9:16">
      <c r="I346" s="72"/>
      <c r="J346" s="73"/>
      <c r="K346" s="73"/>
      <c r="L346" s="73"/>
      <c r="M346" s="73"/>
      <c r="O346" s="72"/>
      <c r="P346" s="109" t="s">
        <v>36</v>
      </c>
    </row>
    <row r="347" spans="9:16">
      <c r="I347" s="72"/>
      <c r="J347" s="73"/>
      <c r="K347" s="73"/>
      <c r="L347" s="73"/>
      <c r="M347" s="73"/>
      <c r="O347" s="72"/>
      <c r="P347" s="109" t="s">
        <v>36</v>
      </c>
    </row>
    <row r="348" spans="9:16">
      <c r="I348" s="72"/>
      <c r="J348" s="73"/>
      <c r="K348" s="73"/>
      <c r="L348" s="73"/>
      <c r="M348" s="73"/>
      <c r="O348" s="107"/>
      <c r="P348" s="109" t="s">
        <v>36</v>
      </c>
    </row>
    <row r="349" spans="9:16">
      <c r="I349" s="72"/>
      <c r="J349" s="73"/>
      <c r="K349" s="73"/>
      <c r="L349" s="73"/>
      <c r="M349" s="73"/>
      <c r="O349" s="72"/>
      <c r="P349" s="109" t="s">
        <v>36</v>
      </c>
    </row>
    <row r="350" spans="9:16">
      <c r="I350" s="72"/>
      <c r="J350" s="73"/>
      <c r="K350" s="73"/>
      <c r="L350" s="73"/>
      <c r="M350" s="73"/>
      <c r="O350" s="72"/>
      <c r="P350" s="109" t="s">
        <v>36</v>
      </c>
    </row>
    <row r="351" spans="9:16">
      <c r="I351" s="72"/>
      <c r="J351" s="73"/>
      <c r="K351" s="73"/>
      <c r="L351" s="73"/>
      <c r="M351" s="73"/>
      <c r="O351" s="72"/>
      <c r="P351" s="109" t="s">
        <v>36</v>
      </c>
    </row>
    <row r="352" spans="9:16">
      <c r="I352" s="72"/>
      <c r="J352" s="73"/>
      <c r="K352" s="73"/>
      <c r="L352" s="73"/>
      <c r="M352" s="73"/>
      <c r="O352" s="72"/>
      <c r="P352" s="109" t="s">
        <v>36</v>
      </c>
    </row>
    <row r="353" spans="9:16">
      <c r="I353" s="72"/>
      <c r="J353" s="73"/>
      <c r="K353" s="73"/>
      <c r="L353" s="73"/>
      <c r="M353" s="73"/>
      <c r="O353" s="72"/>
      <c r="P353" s="109" t="s">
        <v>36</v>
      </c>
    </row>
    <row r="354" spans="9:16">
      <c r="I354" s="72"/>
      <c r="J354" s="73"/>
      <c r="K354" s="73"/>
      <c r="L354" s="73"/>
      <c r="M354" s="73"/>
      <c r="O354" s="72"/>
      <c r="P354" s="109" t="s">
        <v>36</v>
      </c>
    </row>
    <row r="355" spans="9:16">
      <c r="I355" s="72"/>
      <c r="J355" s="73"/>
      <c r="K355" s="73"/>
      <c r="L355" s="73"/>
      <c r="M355" s="73"/>
      <c r="O355" s="72"/>
      <c r="P355" s="109" t="s">
        <v>36</v>
      </c>
    </row>
    <row r="356" spans="9:16">
      <c r="I356" s="72"/>
      <c r="J356" s="73"/>
      <c r="K356" s="73"/>
      <c r="L356" s="73"/>
      <c r="M356" s="73"/>
      <c r="O356" s="72"/>
      <c r="P356" s="109" t="s">
        <v>36</v>
      </c>
    </row>
    <row r="357" spans="9:16">
      <c r="I357" s="72"/>
      <c r="J357" s="73"/>
      <c r="K357" s="73"/>
      <c r="L357" s="73"/>
      <c r="M357" s="73"/>
      <c r="O357" s="94"/>
      <c r="P357" s="109" t="s">
        <v>36</v>
      </c>
    </row>
    <row r="358" spans="9:16">
      <c r="I358" s="72"/>
      <c r="J358" s="73"/>
      <c r="K358" s="73"/>
      <c r="L358" s="73"/>
      <c r="M358" s="73"/>
      <c r="O358" s="72"/>
      <c r="P358" s="109" t="s">
        <v>36</v>
      </c>
    </row>
    <row r="359" spans="9:16">
      <c r="I359" s="72"/>
      <c r="J359" s="73"/>
      <c r="K359" s="73"/>
      <c r="L359" s="73"/>
      <c r="M359" s="73"/>
      <c r="O359" s="72"/>
      <c r="P359" s="109" t="s">
        <v>36</v>
      </c>
    </row>
    <row r="360" spans="9:16">
      <c r="I360" s="72"/>
      <c r="J360" s="73"/>
      <c r="K360" s="73"/>
      <c r="L360" s="73"/>
      <c r="M360" s="73"/>
      <c r="O360" s="72"/>
      <c r="P360" s="109" t="s">
        <v>36</v>
      </c>
    </row>
    <row r="361" spans="9:16">
      <c r="I361" s="72"/>
      <c r="J361" s="73"/>
      <c r="K361" s="73"/>
      <c r="L361" s="73"/>
      <c r="M361" s="73"/>
      <c r="O361" s="72"/>
      <c r="P361" s="109" t="s">
        <v>36</v>
      </c>
    </row>
    <row r="362" spans="9:16">
      <c r="I362" s="72"/>
      <c r="J362" s="73"/>
      <c r="K362" s="73"/>
      <c r="L362" s="73"/>
      <c r="M362" s="73"/>
      <c r="O362" s="72"/>
      <c r="P362" s="109" t="s">
        <v>36</v>
      </c>
    </row>
    <row r="363" spans="9:16">
      <c r="I363" s="72"/>
      <c r="J363" s="73"/>
      <c r="K363" s="73"/>
      <c r="L363" s="73"/>
      <c r="M363" s="73"/>
      <c r="O363" s="72"/>
      <c r="P363" s="109" t="s">
        <v>36</v>
      </c>
    </row>
    <row r="364" spans="9:16">
      <c r="I364" s="72"/>
      <c r="J364" s="73"/>
      <c r="K364" s="73"/>
      <c r="L364" s="73"/>
      <c r="M364" s="73"/>
      <c r="O364" s="72"/>
      <c r="P364" s="109" t="s">
        <v>36</v>
      </c>
    </row>
    <row r="365" spans="9:16">
      <c r="I365" s="72"/>
      <c r="J365" s="73"/>
      <c r="K365" s="73"/>
      <c r="L365" s="73"/>
      <c r="M365" s="73"/>
      <c r="O365" s="72"/>
      <c r="P365" s="109" t="s">
        <v>36</v>
      </c>
    </row>
    <row r="366" spans="9:16">
      <c r="I366" s="72"/>
      <c r="J366" s="73"/>
      <c r="K366" s="73"/>
      <c r="L366" s="73"/>
      <c r="M366" s="73"/>
      <c r="O366" s="72"/>
      <c r="P366" s="109" t="s">
        <v>36</v>
      </c>
    </row>
    <row r="367" spans="9:16">
      <c r="I367" s="72"/>
      <c r="J367" s="73"/>
      <c r="K367" s="72"/>
      <c r="L367" s="73"/>
      <c r="M367" s="73"/>
      <c r="O367" s="72"/>
      <c r="P367" s="109" t="s">
        <v>36</v>
      </c>
    </row>
    <row r="368" spans="9:16">
      <c r="P368" s="109" t="s">
        <v>36</v>
      </c>
    </row>
    <row r="369" spans="16:16">
      <c r="P369" s="109" t="s">
        <v>36</v>
      </c>
    </row>
    <row r="370" spans="16:16">
      <c r="P370" s="109" t="s">
        <v>36</v>
      </c>
    </row>
    <row r="371" spans="16:16">
      <c r="P371" s="109" t="s">
        <v>36</v>
      </c>
    </row>
    <row r="372" spans="16:16">
      <c r="P372" s="109" t="s">
        <v>36</v>
      </c>
    </row>
    <row r="373" spans="16:16">
      <c r="P373" s="109" t="s">
        <v>36</v>
      </c>
    </row>
    <row r="374" spans="16:16">
      <c r="P374" s="109" t="s">
        <v>36</v>
      </c>
    </row>
    <row r="375" spans="16:16">
      <c r="P375" s="109" t="s">
        <v>36</v>
      </c>
    </row>
    <row r="376" spans="16:16">
      <c r="P376" s="109" t="s">
        <v>36</v>
      </c>
    </row>
    <row r="377" spans="16:16">
      <c r="P377" s="109" t="s">
        <v>36</v>
      </c>
    </row>
    <row r="378" spans="16:16">
      <c r="P378" s="109" t="s">
        <v>36</v>
      </c>
    </row>
    <row r="379" spans="16:16">
      <c r="P379" s="109" t="s">
        <v>36</v>
      </c>
    </row>
    <row r="380" spans="16:16">
      <c r="P380" s="109" t="s">
        <v>36</v>
      </c>
    </row>
    <row r="381" spans="16:16">
      <c r="P381" s="109" t="s">
        <v>36</v>
      </c>
    </row>
    <row r="382" spans="16:16">
      <c r="P382" s="109" t="s">
        <v>36</v>
      </c>
    </row>
    <row r="383" spans="16:16">
      <c r="P383" s="109" t="s">
        <v>36</v>
      </c>
    </row>
    <row r="384" spans="16:16">
      <c r="P384" s="109" t="s">
        <v>36</v>
      </c>
    </row>
    <row r="385" spans="16:16">
      <c r="P385" s="109" t="s">
        <v>36</v>
      </c>
    </row>
    <row r="386" spans="16:16">
      <c r="P386" s="109" t="s">
        <v>36</v>
      </c>
    </row>
    <row r="387" spans="16:16">
      <c r="P387" s="109" t="s">
        <v>36</v>
      </c>
    </row>
    <row r="388" spans="16:16">
      <c r="P388" s="109" t="s">
        <v>36</v>
      </c>
    </row>
    <row r="389" spans="16:16">
      <c r="P389" s="109" t="s">
        <v>36</v>
      </c>
    </row>
    <row r="390" spans="16:16">
      <c r="P390" s="109" t="s">
        <v>36</v>
      </c>
    </row>
    <row r="391" spans="16:16">
      <c r="P391" s="109" t="s">
        <v>36</v>
      </c>
    </row>
    <row r="392" spans="16:16">
      <c r="P392" s="109" t="s">
        <v>36</v>
      </c>
    </row>
    <row r="393" spans="16:16">
      <c r="P393" s="109" t="s">
        <v>36</v>
      </c>
    </row>
    <row r="394" spans="16:16">
      <c r="P394" s="109" t="s">
        <v>36</v>
      </c>
    </row>
    <row r="395" spans="16:16">
      <c r="P395" s="109" t="s">
        <v>36</v>
      </c>
    </row>
    <row r="396" spans="16:16">
      <c r="P396" s="109" t="s">
        <v>36</v>
      </c>
    </row>
    <row r="397" spans="16:16">
      <c r="P397" s="109" t="s">
        <v>36</v>
      </c>
    </row>
    <row r="398" spans="16:16">
      <c r="P398" s="109" t="s">
        <v>36</v>
      </c>
    </row>
    <row r="399" spans="16:16">
      <c r="P399" s="109" t="s">
        <v>36</v>
      </c>
    </row>
    <row r="400" spans="16:16">
      <c r="P400" s="109" t="s">
        <v>36</v>
      </c>
    </row>
    <row r="401" spans="16:16">
      <c r="P401" s="109" t="s">
        <v>36</v>
      </c>
    </row>
    <row r="402" spans="16:16">
      <c r="P402" s="109" t="s">
        <v>36</v>
      </c>
    </row>
    <row r="403" spans="16:16">
      <c r="P403" s="109" t="s">
        <v>36</v>
      </c>
    </row>
    <row r="404" spans="16:16">
      <c r="P404" s="109" t="s">
        <v>36</v>
      </c>
    </row>
    <row r="405" spans="16:16">
      <c r="P405" s="109" t="s">
        <v>36</v>
      </c>
    </row>
    <row r="406" spans="16:16">
      <c r="P406" s="109" t="s">
        <v>36</v>
      </c>
    </row>
    <row r="407" spans="16:16">
      <c r="P407" s="109" t="s">
        <v>36</v>
      </c>
    </row>
    <row r="408" spans="16:16">
      <c r="P408" s="109" t="s">
        <v>36</v>
      </c>
    </row>
    <row r="409" spans="16:16">
      <c r="P409" s="109" t="s">
        <v>36</v>
      </c>
    </row>
    <row r="410" spans="16:16">
      <c r="P410" s="109" t="s">
        <v>36</v>
      </c>
    </row>
    <row r="411" spans="16:16">
      <c r="P411" s="109" t="s">
        <v>36</v>
      </c>
    </row>
    <row r="412" spans="16:16">
      <c r="P412" s="109" t="s">
        <v>36</v>
      </c>
    </row>
    <row r="413" spans="16:16">
      <c r="P413" s="109" t="s">
        <v>36</v>
      </c>
    </row>
    <row r="414" spans="16:16">
      <c r="P414" s="109" t="s">
        <v>36</v>
      </c>
    </row>
    <row r="415" spans="16:16">
      <c r="P415" s="109" t="s">
        <v>36</v>
      </c>
    </row>
    <row r="416" spans="16:16">
      <c r="P416" s="109" t="s">
        <v>36</v>
      </c>
    </row>
    <row r="417" spans="16:16">
      <c r="P417" s="109" t="s">
        <v>36</v>
      </c>
    </row>
    <row r="418" spans="16:16">
      <c r="P418" s="109" t="s">
        <v>36</v>
      </c>
    </row>
    <row r="419" spans="16:16">
      <c r="P419" s="109" t="s">
        <v>36</v>
      </c>
    </row>
    <row r="420" spans="16:16">
      <c r="P420" s="109" t="s">
        <v>36</v>
      </c>
    </row>
    <row r="421" spans="16:16">
      <c r="P421" s="109" t="s">
        <v>36</v>
      </c>
    </row>
    <row r="422" spans="16:16">
      <c r="P422" s="109" t="s">
        <v>36</v>
      </c>
    </row>
    <row r="423" spans="16:16">
      <c r="P423" s="109" t="s">
        <v>36</v>
      </c>
    </row>
    <row r="424" spans="16:16">
      <c r="P424" s="109" t="s">
        <v>36</v>
      </c>
    </row>
    <row r="425" spans="16:16">
      <c r="P425" s="109" t="s">
        <v>36</v>
      </c>
    </row>
    <row r="426" spans="16:16">
      <c r="P426" s="109" t="s">
        <v>36</v>
      </c>
    </row>
    <row r="427" spans="16:16">
      <c r="P427" s="109" t="s">
        <v>36</v>
      </c>
    </row>
    <row r="428" spans="16:16">
      <c r="P428" s="109" t="s">
        <v>36</v>
      </c>
    </row>
    <row r="429" spans="16:16">
      <c r="P429" s="109" t="s">
        <v>36</v>
      </c>
    </row>
    <row r="430" spans="16:16">
      <c r="P430" s="109" t="s">
        <v>36</v>
      </c>
    </row>
    <row r="431" spans="16:16">
      <c r="P431" s="109" t="s">
        <v>36</v>
      </c>
    </row>
    <row r="432" spans="16:16">
      <c r="P432" s="109" t="s">
        <v>36</v>
      </c>
    </row>
    <row r="433" spans="16:16">
      <c r="P433" s="109" t="s">
        <v>36</v>
      </c>
    </row>
    <row r="434" spans="16:16">
      <c r="P434" s="109" t="s">
        <v>36</v>
      </c>
    </row>
    <row r="435" spans="16:16">
      <c r="P435" s="109" t="s">
        <v>36</v>
      </c>
    </row>
    <row r="436" spans="16:16">
      <c r="P436" s="109" t="s">
        <v>36</v>
      </c>
    </row>
    <row r="437" spans="16:16">
      <c r="P437" s="109" t="s">
        <v>36</v>
      </c>
    </row>
    <row r="438" spans="16:16">
      <c r="P438" s="109" t="s">
        <v>36</v>
      </c>
    </row>
    <row r="439" spans="16:16">
      <c r="P439" s="109" t="s">
        <v>36</v>
      </c>
    </row>
    <row r="440" spans="16:16">
      <c r="P440" s="109" t="s">
        <v>36</v>
      </c>
    </row>
    <row r="441" spans="16:16">
      <c r="P441" s="109" t="s">
        <v>36</v>
      </c>
    </row>
    <row r="442" spans="16:16">
      <c r="P442" s="109" t="s">
        <v>36</v>
      </c>
    </row>
    <row r="443" spans="16:16">
      <c r="P443" s="109" t="s">
        <v>36</v>
      </c>
    </row>
    <row r="444" spans="16:16">
      <c r="P444" s="109" t="s">
        <v>36</v>
      </c>
    </row>
    <row r="445" spans="16:16">
      <c r="P445" s="109" t="s">
        <v>36</v>
      </c>
    </row>
    <row r="446" spans="16:16">
      <c r="P446" s="109" t="s">
        <v>36</v>
      </c>
    </row>
    <row r="447" spans="16:16">
      <c r="P447" s="109" t="s">
        <v>36</v>
      </c>
    </row>
    <row r="448" spans="16:16">
      <c r="P448" s="109" t="s">
        <v>36</v>
      </c>
    </row>
    <row r="449" spans="16:16">
      <c r="P449" s="109" t="s">
        <v>36</v>
      </c>
    </row>
    <row r="450" spans="16:16">
      <c r="P450" s="109" t="s">
        <v>36</v>
      </c>
    </row>
    <row r="451" spans="16:16">
      <c r="P451" s="109" t="s">
        <v>36</v>
      </c>
    </row>
    <row r="452" spans="16:16">
      <c r="P452" s="109" t="s">
        <v>36</v>
      </c>
    </row>
    <row r="453" spans="16:16">
      <c r="P453" s="109" t="s">
        <v>36</v>
      </c>
    </row>
    <row r="454" spans="16:16">
      <c r="P454" s="109" t="s">
        <v>36</v>
      </c>
    </row>
    <row r="455" spans="16:16">
      <c r="P455" s="109" t="s">
        <v>36</v>
      </c>
    </row>
    <row r="456" spans="16:16">
      <c r="P456" s="109" t="s">
        <v>36</v>
      </c>
    </row>
    <row r="457" spans="16:16">
      <c r="P457" s="109" t="s">
        <v>36</v>
      </c>
    </row>
    <row r="458" spans="16:16">
      <c r="P458" s="109" t="s">
        <v>36</v>
      </c>
    </row>
    <row r="459" spans="16:16">
      <c r="P459" s="109" t="s">
        <v>36</v>
      </c>
    </row>
    <row r="460" spans="16:16">
      <c r="P460" s="109" t="s">
        <v>36</v>
      </c>
    </row>
    <row r="461" spans="16:16">
      <c r="P461" s="109" t="s">
        <v>36</v>
      </c>
    </row>
    <row r="462" spans="16:16">
      <c r="P462" s="109" t="s">
        <v>36</v>
      </c>
    </row>
    <row r="463" spans="16:16">
      <c r="P463" s="109" t="s">
        <v>36</v>
      </c>
    </row>
    <row r="464" spans="16:16">
      <c r="P464" s="109" t="s">
        <v>36</v>
      </c>
    </row>
    <row r="465" spans="16:16">
      <c r="P465" s="109" t="s">
        <v>36</v>
      </c>
    </row>
    <row r="466" spans="16:16">
      <c r="P466" s="109" t="s">
        <v>36</v>
      </c>
    </row>
    <row r="467" spans="16:16">
      <c r="P467" s="109" t="s">
        <v>36</v>
      </c>
    </row>
    <row r="468" spans="16:16">
      <c r="P468" s="109" t="s">
        <v>36</v>
      </c>
    </row>
    <row r="469" spans="16:16">
      <c r="P469" s="109" t="s">
        <v>36</v>
      </c>
    </row>
    <row r="470" spans="16:16">
      <c r="P470" s="109" t="s">
        <v>36</v>
      </c>
    </row>
    <row r="471" spans="16:16">
      <c r="P471" s="109" t="s">
        <v>36</v>
      </c>
    </row>
    <row r="472" spans="16:16">
      <c r="P472" s="109" t="s">
        <v>36</v>
      </c>
    </row>
    <row r="473" spans="16:16">
      <c r="P473" s="109" t="s">
        <v>36</v>
      </c>
    </row>
    <row r="474" spans="16:16">
      <c r="P474" s="109" t="s">
        <v>36</v>
      </c>
    </row>
    <row r="475" spans="16:16">
      <c r="P475" s="109" t="s">
        <v>36</v>
      </c>
    </row>
    <row r="476" spans="16:16">
      <c r="P476" s="109" t="s">
        <v>36</v>
      </c>
    </row>
    <row r="477" spans="16:16">
      <c r="P477" s="109" t="s">
        <v>36</v>
      </c>
    </row>
    <row r="478" spans="16:16">
      <c r="P478" s="109" t="s">
        <v>36</v>
      </c>
    </row>
    <row r="479" spans="16:16">
      <c r="P479" s="109" t="s">
        <v>36</v>
      </c>
    </row>
    <row r="480" spans="16:16">
      <c r="P480" s="109" t="s">
        <v>36</v>
      </c>
    </row>
    <row r="481" spans="16:16">
      <c r="P481" s="109" t="s">
        <v>36</v>
      </c>
    </row>
    <row r="482" spans="16:16">
      <c r="P482" s="109" t="s">
        <v>36</v>
      </c>
    </row>
    <row r="483" spans="16:16">
      <c r="P483" s="109" t="s">
        <v>36</v>
      </c>
    </row>
    <row r="484" spans="16:16">
      <c r="P484" s="109" t="s">
        <v>36</v>
      </c>
    </row>
    <row r="485" spans="16:16">
      <c r="P485" s="109" t="s">
        <v>36</v>
      </c>
    </row>
    <row r="486" spans="16:16">
      <c r="P486" s="109" t="s">
        <v>36</v>
      </c>
    </row>
    <row r="487" spans="16:16">
      <c r="P487" s="109" t="s">
        <v>36</v>
      </c>
    </row>
    <row r="488" spans="16:16">
      <c r="P488" s="109" t="s">
        <v>36</v>
      </c>
    </row>
    <row r="489" spans="16:16">
      <c r="P489" s="109" t="s">
        <v>36</v>
      </c>
    </row>
    <row r="490" spans="16:16">
      <c r="P490" s="109" t="s">
        <v>36</v>
      </c>
    </row>
    <row r="491" spans="16:16">
      <c r="P491" s="109" t="s">
        <v>36</v>
      </c>
    </row>
    <row r="492" spans="16:16">
      <c r="P492" s="109" t="s">
        <v>36</v>
      </c>
    </row>
    <row r="493" spans="16:16">
      <c r="P493" s="109" t="s">
        <v>36</v>
      </c>
    </row>
    <row r="494" spans="16:16">
      <c r="P494" s="109" t="s">
        <v>36</v>
      </c>
    </row>
    <row r="495" spans="16:16">
      <c r="P495" s="109" t="s">
        <v>36</v>
      </c>
    </row>
    <row r="496" spans="16:16">
      <c r="P496" s="109" t="s">
        <v>36</v>
      </c>
    </row>
    <row r="497" spans="16:16">
      <c r="P497" s="109" t="s">
        <v>36</v>
      </c>
    </row>
    <row r="498" spans="16:16">
      <c r="P498" s="109" t="s">
        <v>36</v>
      </c>
    </row>
    <row r="499" spans="16:16">
      <c r="P499" s="109" t="s">
        <v>36</v>
      </c>
    </row>
    <row r="500" spans="16:16">
      <c r="P500" s="109" t="s">
        <v>36</v>
      </c>
    </row>
    <row r="501" spans="16:16">
      <c r="P501" s="109" t="s">
        <v>36</v>
      </c>
    </row>
    <row r="502" spans="16:16">
      <c r="P502" s="109" t="s">
        <v>36</v>
      </c>
    </row>
    <row r="503" spans="16:16">
      <c r="P503" s="109" t="s">
        <v>36</v>
      </c>
    </row>
    <row r="504" spans="16:16">
      <c r="P504" s="109" t="s">
        <v>36</v>
      </c>
    </row>
    <row r="505" spans="16:16">
      <c r="P505" s="109" t="s">
        <v>36</v>
      </c>
    </row>
    <row r="506" spans="16:16">
      <c r="P506" s="109" t="s">
        <v>36</v>
      </c>
    </row>
    <row r="507" spans="16:16">
      <c r="P507" s="109" t="s">
        <v>36</v>
      </c>
    </row>
    <row r="508" spans="16:16">
      <c r="P508" s="109" t="s">
        <v>36</v>
      </c>
    </row>
    <row r="509" spans="16:16">
      <c r="P509" s="109" t="s">
        <v>36</v>
      </c>
    </row>
    <row r="510" spans="16:16">
      <c r="P510" s="109" t="s">
        <v>36</v>
      </c>
    </row>
    <row r="511" spans="16:16">
      <c r="P511" s="109" t="s">
        <v>36</v>
      </c>
    </row>
    <row r="512" spans="16:16">
      <c r="P512" s="109" t="s">
        <v>36</v>
      </c>
    </row>
    <row r="513" spans="16:16">
      <c r="P513" s="109" t="s">
        <v>36</v>
      </c>
    </row>
    <row r="514" spans="16:16">
      <c r="P514" s="109" t="s">
        <v>36</v>
      </c>
    </row>
    <row r="515" spans="16:16">
      <c r="P515" s="109" t="s">
        <v>36</v>
      </c>
    </row>
    <row r="516" spans="16:16">
      <c r="P516" s="109" t="s">
        <v>36</v>
      </c>
    </row>
    <row r="517" spans="16:16">
      <c r="P517" s="109" t="s">
        <v>36</v>
      </c>
    </row>
    <row r="518" spans="16:16">
      <c r="P518" s="109" t="s">
        <v>36</v>
      </c>
    </row>
    <row r="519" spans="16:16">
      <c r="P519" s="109" t="s">
        <v>36</v>
      </c>
    </row>
    <row r="520" spans="16:16">
      <c r="P520" s="109" t="s">
        <v>36</v>
      </c>
    </row>
    <row r="521" spans="16:16">
      <c r="P521" s="109" t="s">
        <v>36</v>
      </c>
    </row>
    <row r="522" spans="16:16">
      <c r="P522" s="109" t="s">
        <v>36</v>
      </c>
    </row>
    <row r="523" spans="16:16">
      <c r="P523" s="109" t="s">
        <v>36</v>
      </c>
    </row>
    <row r="524" spans="16:16">
      <c r="P524" s="109" t="s">
        <v>36</v>
      </c>
    </row>
    <row r="525" spans="16:16">
      <c r="P525" s="109" t="s">
        <v>36</v>
      </c>
    </row>
    <row r="526" spans="16:16">
      <c r="P526" s="109" t="s">
        <v>36</v>
      </c>
    </row>
    <row r="527" spans="16:16">
      <c r="P527" s="109" t="s">
        <v>36</v>
      </c>
    </row>
    <row r="528" spans="16:16">
      <c r="P528" s="109" t="s">
        <v>36</v>
      </c>
    </row>
    <row r="529" spans="16:16">
      <c r="P529" s="109" t="s">
        <v>36</v>
      </c>
    </row>
    <row r="530" spans="16:16">
      <c r="P530" s="109" t="s">
        <v>36</v>
      </c>
    </row>
    <row r="531" spans="16:16">
      <c r="P531" s="109" t="s">
        <v>36</v>
      </c>
    </row>
    <row r="532" spans="16:16">
      <c r="P532" s="109" t="s">
        <v>36</v>
      </c>
    </row>
    <row r="533" spans="16:16">
      <c r="P533" s="109" t="s">
        <v>36</v>
      </c>
    </row>
    <row r="534" spans="16:16">
      <c r="P534" s="109" t="s">
        <v>36</v>
      </c>
    </row>
    <row r="535" spans="16:16">
      <c r="P535" s="109" t="s">
        <v>36</v>
      </c>
    </row>
    <row r="536" spans="16:16">
      <c r="P536" s="109" t="s">
        <v>36</v>
      </c>
    </row>
    <row r="537" spans="16:16">
      <c r="P537" s="109" t="s">
        <v>36</v>
      </c>
    </row>
    <row r="538" spans="16:16">
      <c r="P538" s="109" t="s">
        <v>36</v>
      </c>
    </row>
    <row r="539" spans="16:16">
      <c r="P539" s="109" t="s">
        <v>36</v>
      </c>
    </row>
    <row r="540" spans="16:16">
      <c r="P540" s="109" t="s">
        <v>36</v>
      </c>
    </row>
    <row r="541" spans="16:16">
      <c r="P541" s="109" t="s">
        <v>36</v>
      </c>
    </row>
    <row r="542" spans="16:16">
      <c r="P542" s="109" t="s">
        <v>36</v>
      </c>
    </row>
    <row r="543" spans="16:16">
      <c r="P543" s="109" t="s">
        <v>36</v>
      </c>
    </row>
    <row r="544" spans="16:16">
      <c r="P544" s="109" t="s">
        <v>36</v>
      </c>
    </row>
    <row r="545" spans="16:16">
      <c r="P545" s="109" t="s">
        <v>36</v>
      </c>
    </row>
    <row r="546" spans="16:16">
      <c r="P546" s="109" t="s">
        <v>36</v>
      </c>
    </row>
    <row r="547" spans="16:16">
      <c r="P547" s="109" t="s">
        <v>36</v>
      </c>
    </row>
    <row r="548" spans="16:16">
      <c r="P548" s="109" t="s">
        <v>36</v>
      </c>
    </row>
    <row r="549" spans="16:16">
      <c r="P549" s="109" t="s">
        <v>36</v>
      </c>
    </row>
    <row r="550" spans="16:16">
      <c r="P550" s="109" t="s">
        <v>36</v>
      </c>
    </row>
    <row r="551" spans="16:16">
      <c r="P551" s="109" t="s">
        <v>36</v>
      </c>
    </row>
    <row r="552" spans="16:16">
      <c r="P552" s="109" t="s">
        <v>36</v>
      </c>
    </row>
    <row r="553" spans="16:16">
      <c r="P553" s="109" t="s">
        <v>36</v>
      </c>
    </row>
    <row r="554" spans="16:16">
      <c r="P554" s="109" t="s">
        <v>36</v>
      </c>
    </row>
    <row r="555" spans="16:16">
      <c r="P555" s="109" t="s">
        <v>36</v>
      </c>
    </row>
    <row r="556" spans="16:16">
      <c r="P556" s="109" t="s">
        <v>36</v>
      </c>
    </row>
    <row r="557" spans="16:16">
      <c r="P557" s="109" t="s">
        <v>36</v>
      </c>
    </row>
    <row r="558" spans="16:16">
      <c r="P558" s="109" t="s">
        <v>36</v>
      </c>
    </row>
    <row r="559" spans="16:16">
      <c r="P559" s="109" t="s">
        <v>36</v>
      </c>
    </row>
    <row r="560" spans="16:16">
      <c r="P560" s="109" t="s">
        <v>36</v>
      </c>
    </row>
    <row r="561" spans="16:16">
      <c r="P561" s="109" t="s">
        <v>36</v>
      </c>
    </row>
    <row r="562" spans="16:16">
      <c r="P562" s="109" t="s">
        <v>36</v>
      </c>
    </row>
    <row r="563" spans="16:16">
      <c r="P563" s="109" t="s">
        <v>36</v>
      </c>
    </row>
    <row r="564" spans="16:16">
      <c r="P564" s="109" t="s">
        <v>36</v>
      </c>
    </row>
    <row r="565" spans="16:16">
      <c r="P565" s="109" t="s">
        <v>36</v>
      </c>
    </row>
    <row r="566" spans="16:16">
      <c r="P566" s="109" t="s">
        <v>36</v>
      </c>
    </row>
    <row r="567" spans="16:16">
      <c r="P567" s="109" t="s">
        <v>36</v>
      </c>
    </row>
    <row r="568" spans="16:16">
      <c r="P568" s="109" t="s">
        <v>36</v>
      </c>
    </row>
    <row r="569" spans="16:16">
      <c r="P569" s="109" t="s">
        <v>36</v>
      </c>
    </row>
    <row r="570" spans="16:16">
      <c r="P570" s="109" t="s">
        <v>36</v>
      </c>
    </row>
    <row r="571" spans="16:16">
      <c r="P571" s="109" t="s">
        <v>36</v>
      </c>
    </row>
    <row r="572" spans="16:16">
      <c r="P572" s="109" t="s">
        <v>36</v>
      </c>
    </row>
    <row r="573" spans="16:16">
      <c r="P573" s="109" t="s">
        <v>36</v>
      </c>
    </row>
    <row r="574" spans="16:16">
      <c r="P574" s="109" t="s">
        <v>36</v>
      </c>
    </row>
    <row r="575" spans="16:16">
      <c r="P575" s="109" t="s">
        <v>36</v>
      </c>
    </row>
    <row r="576" spans="16:16">
      <c r="P576" s="109" t="s">
        <v>36</v>
      </c>
    </row>
    <row r="577" spans="16:16">
      <c r="P577" s="109" t="s">
        <v>36</v>
      </c>
    </row>
    <row r="578" spans="16:16">
      <c r="P578" s="109" t="s">
        <v>36</v>
      </c>
    </row>
    <row r="579" spans="16:16">
      <c r="P579" s="109" t="s">
        <v>36</v>
      </c>
    </row>
    <row r="580" spans="16:16">
      <c r="P580" s="109" t="s">
        <v>36</v>
      </c>
    </row>
    <row r="581" spans="16:16">
      <c r="P581" s="109" t="s">
        <v>36</v>
      </c>
    </row>
    <row r="582" spans="16:16">
      <c r="P582" s="109" t="s">
        <v>36</v>
      </c>
    </row>
    <row r="583" spans="16:16">
      <c r="P583" s="109" t="s">
        <v>36</v>
      </c>
    </row>
    <row r="584" spans="16:16">
      <c r="P584" s="109" t="s">
        <v>36</v>
      </c>
    </row>
    <row r="585" spans="16:16">
      <c r="P585" s="109" t="s">
        <v>36</v>
      </c>
    </row>
    <row r="586" spans="16:16">
      <c r="P586" s="109" t="s">
        <v>36</v>
      </c>
    </row>
    <row r="587" spans="16:16">
      <c r="P587" s="109" t="s">
        <v>36</v>
      </c>
    </row>
    <row r="588" spans="16:16">
      <c r="P588" s="109" t="s">
        <v>36</v>
      </c>
    </row>
    <row r="589" spans="16:16">
      <c r="P589" s="109" t="s">
        <v>36</v>
      </c>
    </row>
    <row r="590" spans="16:16">
      <c r="P590" s="109" t="s">
        <v>36</v>
      </c>
    </row>
    <row r="591" spans="16:16">
      <c r="P591" s="109" t="s">
        <v>36</v>
      </c>
    </row>
    <row r="592" spans="16:16">
      <c r="P592" s="109" t="s">
        <v>36</v>
      </c>
    </row>
    <row r="593" spans="16:16">
      <c r="P593" s="109" t="s">
        <v>36</v>
      </c>
    </row>
    <row r="594" spans="16:16">
      <c r="P594" s="109" t="s">
        <v>36</v>
      </c>
    </row>
    <row r="595" spans="16:16">
      <c r="P595" s="109" t="s">
        <v>36</v>
      </c>
    </row>
    <row r="596" spans="16:16">
      <c r="P596" s="109" t="s">
        <v>36</v>
      </c>
    </row>
    <row r="597" spans="16:16">
      <c r="P597" s="109" t="s">
        <v>36</v>
      </c>
    </row>
    <row r="598" spans="16:16">
      <c r="P598" s="109" t="s">
        <v>36</v>
      </c>
    </row>
    <row r="599" spans="16:16">
      <c r="P599" s="109" t="s">
        <v>36</v>
      </c>
    </row>
    <row r="600" spans="16:16">
      <c r="P600" s="109" t="s">
        <v>36</v>
      </c>
    </row>
    <row r="601" spans="16:16">
      <c r="P601" s="109" t="s">
        <v>36</v>
      </c>
    </row>
    <row r="602" spans="16:16">
      <c r="P602" s="109" t="s">
        <v>36</v>
      </c>
    </row>
    <row r="603" spans="16:16">
      <c r="P603" s="109" t="s">
        <v>36</v>
      </c>
    </row>
    <row r="604" spans="16:16">
      <c r="P604" s="109" t="s">
        <v>36</v>
      </c>
    </row>
    <row r="605" spans="16:16">
      <c r="P605" s="109" t="s">
        <v>36</v>
      </c>
    </row>
    <row r="606" spans="16:16">
      <c r="P606" s="109" t="s">
        <v>36</v>
      </c>
    </row>
    <row r="607" spans="16:16">
      <c r="P607" s="109" t="s">
        <v>36</v>
      </c>
    </row>
    <row r="608" spans="16:16">
      <c r="P608" s="109" t="s">
        <v>36</v>
      </c>
    </row>
    <row r="609" spans="16:16">
      <c r="P609" s="109" t="s">
        <v>36</v>
      </c>
    </row>
    <row r="610" spans="16:16">
      <c r="P610" s="109" t="s">
        <v>36</v>
      </c>
    </row>
    <row r="611" spans="16:16">
      <c r="P611" s="109" t="s">
        <v>36</v>
      </c>
    </row>
    <row r="612" spans="16:16">
      <c r="P612" s="109" t="s">
        <v>36</v>
      </c>
    </row>
    <row r="613" spans="16:16">
      <c r="P613" s="109" t="s">
        <v>36</v>
      </c>
    </row>
    <row r="614" spans="16:16">
      <c r="P614" s="109" t="s">
        <v>36</v>
      </c>
    </row>
    <row r="615" spans="16:16">
      <c r="P615" s="109" t="s">
        <v>36</v>
      </c>
    </row>
    <row r="616" spans="16:16">
      <c r="P616" s="109" t="s">
        <v>36</v>
      </c>
    </row>
    <row r="617" spans="16:16">
      <c r="P617" s="109" t="s">
        <v>36</v>
      </c>
    </row>
    <row r="618" spans="16:16">
      <c r="P618" s="109" t="s">
        <v>36</v>
      </c>
    </row>
    <row r="619" spans="16:16">
      <c r="P619" s="109" t="s">
        <v>36</v>
      </c>
    </row>
    <row r="620" spans="16:16">
      <c r="P620" s="109" t="s">
        <v>36</v>
      </c>
    </row>
    <row r="621" spans="16:16">
      <c r="P621" s="109" t="s">
        <v>36</v>
      </c>
    </row>
    <row r="622" spans="16:16">
      <c r="P622" s="109" t="s">
        <v>36</v>
      </c>
    </row>
    <row r="623" spans="16:16">
      <c r="P623" s="109" t="s">
        <v>36</v>
      </c>
    </row>
    <row r="624" spans="16:16">
      <c r="P624" s="109" t="s">
        <v>36</v>
      </c>
    </row>
    <row r="625" spans="16:16">
      <c r="P625" s="109" t="s">
        <v>36</v>
      </c>
    </row>
    <row r="626" spans="16:16">
      <c r="P626" s="109" t="s">
        <v>36</v>
      </c>
    </row>
    <row r="627" spans="16:16">
      <c r="P627" s="109" t="s">
        <v>36</v>
      </c>
    </row>
    <row r="628" spans="16:16">
      <c r="P628" s="109" t="s">
        <v>36</v>
      </c>
    </row>
    <row r="629" spans="16:16">
      <c r="P629" s="109" t="s">
        <v>36</v>
      </c>
    </row>
    <row r="630" spans="16:16">
      <c r="P630" s="109" t="s">
        <v>36</v>
      </c>
    </row>
    <row r="631" spans="16:16">
      <c r="P631" s="109" t="s">
        <v>36</v>
      </c>
    </row>
    <row r="632" spans="16:16">
      <c r="P632" s="109" t="s">
        <v>36</v>
      </c>
    </row>
    <row r="633" spans="16:16">
      <c r="P633" s="109" t="s">
        <v>36</v>
      </c>
    </row>
    <row r="634" spans="16:16">
      <c r="P634" s="109" t="s">
        <v>36</v>
      </c>
    </row>
    <row r="635" spans="16:16">
      <c r="P635" s="109" t="s">
        <v>36</v>
      </c>
    </row>
    <row r="636" spans="16:16">
      <c r="P636" s="109" t="s">
        <v>36</v>
      </c>
    </row>
    <row r="637" spans="16:16">
      <c r="P637" s="109" t="s">
        <v>36</v>
      </c>
    </row>
    <row r="638" spans="16:16">
      <c r="P638" s="109" t="s">
        <v>36</v>
      </c>
    </row>
    <row r="639" spans="16:16">
      <c r="P639" s="109" t="s">
        <v>36</v>
      </c>
    </row>
    <row r="640" spans="16:16">
      <c r="P640" s="109" t="s">
        <v>36</v>
      </c>
    </row>
    <row r="641" spans="16:16">
      <c r="P641" s="109" t="s">
        <v>36</v>
      </c>
    </row>
    <row r="642" spans="16:16">
      <c r="P642" s="109" t="s">
        <v>36</v>
      </c>
    </row>
    <row r="643" spans="16:16">
      <c r="P643" s="109" t="s">
        <v>36</v>
      </c>
    </row>
    <row r="644" spans="16:16">
      <c r="P644" s="109" t="s">
        <v>36</v>
      </c>
    </row>
    <row r="645" spans="16:16">
      <c r="P645" s="109" t="s">
        <v>36</v>
      </c>
    </row>
    <row r="646" spans="16:16">
      <c r="P646" s="109" t="s">
        <v>36</v>
      </c>
    </row>
    <row r="647" spans="16:16">
      <c r="P647" s="109" t="s">
        <v>36</v>
      </c>
    </row>
    <row r="648" spans="16:16">
      <c r="P648" s="109" t="s">
        <v>36</v>
      </c>
    </row>
    <row r="649" spans="16:16">
      <c r="P649" s="109" t="s">
        <v>36</v>
      </c>
    </row>
    <row r="650" spans="16:16">
      <c r="P650" s="109" t="s">
        <v>36</v>
      </c>
    </row>
    <row r="651" spans="16:16">
      <c r="P651" s="109" t="s">
        <v>36</v>
      </c>
    </row>
    <row r="652" spans="16:16">
      <c r="P652" s="109" t="s">
        <v>36</v>
      </c>
    </row>
    <row r="653" spans="16:16">
      <c r="P653" s="109" t="s">
        <v>36</v>
      </c>
    </row>
    <row r="654" spans="16:16">
      <c r="P654" s="109" t="s">
        <v>36</v>
      </c>
    </row>
    <row r="655" spans="16:16">
      <c r="P655" s="109" t="s">
        <v>36</v>
      </c>
    </row>
    <row r="656" spans="16:16">
      <c r="P656" s="109" t="s">
        <v>36</v>
      </c>
    </row>
    <row r="657" spans="16:16">
      <c r="P657" s="109" t="s">
        <v>36</v>
      </c>
    </row>
    <row r="658" spans="16:16">
      <c r="P658" s="109" t="s">
        <v>36</v>
      </c>
    </row>
    <row r="659" spans="16:16">
      <c r="P659" s="109" t="s">
        <v>36</v>
      </c>
    </row>
    <row r="660" spans="16:16">
      <c r="P660" s="109" t="s">
        <v>36</v>
      </c>
    </row>
    <row r="661" spans="16:16">
      <c r="P661" s="109" t="s">
        <v>36</v>
      </c>
    </row>
    <row r="662" spans="16:16">
      <c r="P662" s="109" t="s">
        <v>36</v>
      </c>
    </row>
    <row r="663" spans="16:16">
      <c r="P663" s="109" t="s">
        <v>36</v>
      </c>
    </row>
    <row r="664" spans="16:16">
      <c r="P664" s="109" t="s">
        <v>36</v>
      </c>
    </row>
    <row r="665" spans="16:16">
      <c r="P665" s="109" t="s">
        <v>36</v>
      </c>
    </row>
    <row r="666" spans="16:16">
      <c r="P666" s="109" t="s">
        <v>36</v>
      </c>
    </row>
    <row r="667" spans="16:16">
      <c r="P667" s="109" t="s">
        <v>36</v>
      </c>
    </row>
    <row r="668" spans="16:16">
      <c r="P668" s="109" t="s">
        <v>36</v>
      </c>
    </row>
    <row r="669" spans="16:16">
      <c r="P669" s="109" t="s">
        <v>36</v>
      </c>
    </row>
    <row r="670" spans="16:16">
      <c r="P670" s="109" t="s">
        <v>36</v>
      </c>
    </row>
    <row r="671" spans="16:16">
      <c r="P671" s="109" t="s">
        <v>36</v>
      </c>
    </row>
    <row r="672" spans="16:16">
      <c r="P672" s="109" t="s">
        <v>36</v>
      </c>
    </row>
    <row r="673" spans="16:16">
      <c r="P673" s="109" t="s">
        <v>36</v>
      </c>
    </row>
    <row r="674" spans="16:16">
      <c r="P674" s="109" t="s">
        <v>36</v>
      </c>
    </row>
    <row r="675" spans="16:16">
      <c r="P675" s="109" t="s">
        <v>36</v>
      </c>
    </row>
    <row r="676" spans="16:16">
      <c r="P676" s="109" t="s">
        <v>36</v>
      </c>
    </row>
    <row r="677" spans="16:16">
      <c r="P677" s="109" t="s">
        <v>36</v>
      </c>
    </row>
    <row r="678" spans="16:16">
      <c r="P678" s="109" t="s">
        <v>36</v>
      </c>
    </row>
    <row r="679" spans="16:16">
      <c r="P679" s="109" t="s">
        <v>36</v>
      </c>
    </row>
    <row r="680" spans="16:16">
      <c r="P680" s="109" t="s">
        <v>36</v>
      </c>
    </row>
    <row r="681" spans="16:16">
      <c r="P681" s="109" t="s">
        <v>36</v>
      </c>
    </row>
    <row r="682" spans="16:16">
      <c r="P682" s="109" t="s">
        <v>36</v>
      </c>
    </row>
    <row r="683" spans="16:16">
      <c r="P683" s="109" t="s">
        <v>36</v>
      </c>
    </row>
    <row r="684" spans="16:16">
      <c r="P684" s="109" t="s">
        <v>36</v>
      </c>
    </row>
    <row r="685" spans="16:16">
      <c r="P685" s="109" t="s">
        <v>36</v>
      </c>
    </row>
    <row r="686" spans="16:16">
      <c r="P686" s="109" t="s">
        <v>36</v>
      </c>
    </row>
    <row r="687" spans="16:16">
      <c r="P687" s="109" t="s">
        <v>36</v>
      </c>
    </row>
    <row r="688" spans="16:16">
      <c r="P688" s="109" t="s">
        <v>36</v>
      </c>
    </row>
    <row r="689" spans="16:16">
      <c r="P689" s="109" t="s">
        <v>36</v>
      </c>
    </row>
    <row r="690" spans="16:16">
      <c r="P690" s="109" t="s">
        <v>36</v>
      </c>
    </row>
    <row r="691" spans="16:16">
      <c r="P691" s="109" t="s">
        <v>36</v>
      </c>
    </row>
    <row r="692" spans="16:16">
      <c r="P692" s="109" t="s">
        <v>36</v>
      </c>
    </row>
    <row r="693" spans="16:16">
      <c r="P693" s="109" t="s">
        <v>36</v>
      </c>
    </row>
    <row r="694" spans="16:16">
      <c r="P694" s="109" t="s">
        <v>36</v>
      </c>
    </row>
    <row r="695" spans="16:16">
      <c r="P695" s="109" t="s">
        <v>36</v>
      </c>
    </row>
    <row r="696" spans="16:16">
      <c r="P696" s="109" t="s">
        <v>36</v>
      </c>
    </row>
    <row r="697" spans="16:16">
      <c r="P697" s="109" t="s">
        <v>36</v>
      </c>
    </row>
    <row r="698" spans="16:16">
      <c r="P698" s="109" t="s">
        <v>36</v>
      </c>
    </row>
    <row r="699" spans="16:16">
      <c r="P699" s="109" t="s">
        <v>36</v>
      </c>
    </row>
    <row r="700" spans="16:16">
      <c r="P700" s="109" t="s">
        <v>36</v>
      </c>
    </row>
    <row r="701" spans="16:16">
      <c r="P701" s="109" t="s">
        <v>36</v>
      </c>
    </row>
    <row r="702" spans="16:16">
      <c r="P702" s="109" t="s">
        <v>36</v>
      </c>
    </row>
    <row r="703" spans="16:16">
      <c r="P703" s="109" t="s">
        <v>36</v>
      </c>
    </row>
    <row r="704" spans="16:16">
      <c r="P704" s="109" t="s">
        <v>36</v>
      </c>
    </row>
    <row r="705" spans="16:16">
      <c r="P705" s="109" t="s">
        <v>36</v>
      </c>
    </row>
    <row r="706" spans="16:16">
      <c r="P706" s="109" t="s">
        <v>36</v>
      </c>
    </row>
    <row r="707" spans="16:16">
      <c r="P707" s="109" t="s">
        <v>36</v>
      </c>
    </row>
    <row r="708" spans="16:16">
      <c r="P708" s="109" t="s">
        <v>36</v>
      </c>
    </row>
    <row r="709" spans="16:16">
      <c r="P709" s="109" t="s">
        <v>36</v>
      </c>
    </row>
    <row r="710" spans="16:16">
      <c r="P710" s="109" t="s">
        <v>36</v>
      </c>
    </row>
    <row r="711" spans="16:16">
      <c r="P711" s="109" t="s">
        <v>36</v>
      </c>
    </row>
    <row r="712" spans="16:16">
      <c r="P712" s="109" t="s">
        <v>36</v>
      </c>
    </row>
    <row r="713" spans="16:16">
      <c r="P713" s="109" t="s">
        <v>36</v>
      </c>
    </row>
    <row r="714" spans="16:16">
      <c r="P714" s="109" t="s">
        <v>36</v>
      </c>
    </row>
    <row r="715" spans="16:16">
      <c r="P715" s="109" t="s">
        <v>36</v>
      </c>
    </row>
    <row r="716" spans="16:16">
      <c r="P716" s="109" t="s">
        <v>36</v>
      </c>
    </row>
    <row r="717" spans="16:16">
      <c r="P717" s="109" t="s">
        <v>36</v>
      </c>
    </row>
    <row r="718" spans="16:16">
      <c r="P718" s="109" t="s">
        <v>36</v>
      </c>
    </row>
    <row r="719" spans="16:16">
      <c r="P719" s="109" t="s">
        <v>36</v>
      </c>
    </row>
    <row r="720" spans="16:16">
      <c r="P720" s="109" t="s">
        <v>36</v>
      </c>
    </row>
    <row r="721" spans="16:16">
      <c r="P721" s="109" t="s">
        <v>36</v>
      </c>
    </row>
    <row r="722" spans="16:16">
      <c r="P722" s="109" t="s">
        <v>36</v>
      </c>
    </row>
    <row r="723" spans="16:16">
      <c r="P723" s="109" t="s">
        <v>36</v>
      </c>
    </row>
    <row r="724" spans="16:16">
      <c r="P724" s="109" t="s">
        <v>36</v>
      </c>
    </row>
    <row r="725" spans="16:16">
      <c r="P725" s="109" t="s">
        <v>36</v>
      </c>
    </row>
    <row r="726" spans="16:16">
      <c r="P726" s="109" t="s">
        <v>36</v>
      </c>
    </row>
    <row r="727" spans="16:16">
      <c r="P727" s="109" t="s">
        <v>36</v>
      </c>
    </row>
    <row r="728" spans="16:16">
      <c r="P728" s="109" t="s">
        <v>36</v>
      </c>
    </row>
    <row r="729" spans="16:16">
      <c r="P729" s="109" t="s">
        <v>36</v>
      </c>
    </row>
    <row r="730" spans="16:16">
      <c r="P730" s="109" t="s">
        <v>36</v>
      </c>
    </row>
    <row r="731" spans="16:16">
      <c r="P731" s="109" t="s">
        <v>36</v>
      </c>
    </row>
    <row r="732" spans="16:16">
      <c r="P732" s="109" t="s">
        <v>36</v>
      </c>
    </row>
    <row r="733" spans="16:16">
      <c r="P733" s="109" t="s">
        <v>36</v>
      </c>
    </row>
    <row r="734" spans="16:16">
      <c r="P734" s="109" t="s">
        <v>36</v>
      </c>
    </row>
    <row r="735" spans="16:16">
      <c r="P735" s="109" t="s">
        <v>36</v>
      </c>
    </row>
    <row r="736" spans="16:16">
      <c r="P736" s="109" t="s">
        <v>36</v>
      </c>
    </row>
    <row r="737" spans="16:16">
      <c r="P737" s="109" t="s">
        <v>36</v>
      </c>
    </row>
    <row r="738" spans="16:16">
      <c r="P738" s="109" t="s">
        <v>36</v>
      </c>
    </row>
    <row r="739" spans="16:16">
      <c r="P739" s="109" t="s">
        <v>36</v>
      </c>
    </row>
    <row r="740" spans="16:16">
      <c r="P740" s="109" t="s">
        <v>36</v>
      </c>
    </row>
    <row r="741" spans="16:16">
      <c r="P741" s="109" t="s">
        <v>36</v>
      </c>
    </row>
    <row r="742" spans="16:16">
      <c r="P742" s="109" t="s">
        <v>36</v>
      </c>
    </row>
    <row r="743" spans="16:16">
      <c r="P743" s="109" t="s">
        <v>36</v>
      </c>
    </row>
    <row r="744" spans="16:16">
      <c r="P744" s="109" t="s">
        <v>36</v>
      </c>
    </row>
    <row r="745" spans="16:16">
      <c r="P745" s="109" t="s">
        <v>36</v>
      </c>
    </row>
    <row r="746" spans="16:16">
      <c r="P746" s="109" t="s">
        <v>36</v>
      </c>
    </row>
    <row r="747" spans="16:16">
      <c r="P747" s="109" t="s">
        <v>36</v>
      </c>
    </row>
    <row r="748" spans="16:16">
      <c r="P748" s="109" t="s">
        <v>36</v>
      </c>
    </row>
    <row r="749" spans="16:16">
      <c r="P749" s="109" t="s">
        <v>36</v>
      </c>
    </row>
    <row r="750" spans="16:16">
      <c r="P750" s="109" t="s">
        <v>36</v>
      </c>
    </row>
    <row r="751" spans="16:16">
      <c r="P751" s="109" t="s">
        <v>36</v>
      </c>
    </row>
    <row r="752" spans="16:16">
      <c r="P752" s="109" t="s">
        <v>36</v>
      </c>
    </row>
    <row r="753" spans="16:16">
      <c r="P753" s="109" t="s">
        <v>36</v>
      </c>
    </row>
    <row r="754" spans="16:16">
      <c r="P754" s="109" t="s">
        <v>36</v>
      </c>
    </row>
    <row r="755" spans="16:16">
      <c r="P755" s="109" t="s">
        <v>36</v>
      </c>
    </row>
    <row r="756" spans="16:16">
      <c r="P756" s="109" t="s">
        <v>36</v>
      </c>
    </row>
    <row r="757" spans="16:16">
      <c r="P757" s="109" t="s">
        <v>36</v>
      </c>
    </row>
    <row r="758" spans="16:16">
      <c r="P758" s="109" t="s">
        <v>36</v>
      </c>
    </row>
    <row r="759" spans="16:16">
      <c r="P759" s="109" t="s">
        <v>36</v>
      </c>
    </row>
    <row r="760" spans="16:16">
      <c r="P760" s="109" t="s">
        <v>36</v>
      </c>
    </row>
    <row r="761" spans="16:16">
      <c r="P761" s="109" t="s">
        <v>36</v>
      </c>
    </row>
    <row r="762" spans="16:16">
      <c r="P762" s="109" t="s">
        <v>36</v>
      </c>
    </row>
    <row r="763" spans="16:16">
      <c r="P763" s="109" t="s">
        <v>36</v>
      </c>
    </row>
    <row r="764" spans="16:16">
      <c r="P764" s="109" t="s">
        <v>36</v>
      </c>
    </row>
    <row r="765" spans="16:16">
      <c r="P765" s="109" t="s">
        <v>36</v>
      </c>
    </row>
    <row r="766" spans="16:16">
      <c r="P766" s="109" t="s">
        <v>36</v>
      </c>
    </row>
    <row r="767" spans="16:16">
      <c r="P767" s="109" t="s">
        <v>36</v>
      </c>
    </row>
    <row r="768" spans="16:16">
      <c r="P768" s="109" t="s">
        <v>36</v>
      </c>
    </row>
    <row r="769" spans="16:16">
      <c r="P769" s="109" t="s">
        <v>36</v>
      </c>
    </row>
    <row r="770" spans="16:16">
      <c r="P770" s="109" t="s">
        <v>36</v>
      </c>
    </row>
    <row r="771" spans="16:16">
      <c r="P771" s="109" t="s">
        <v>36</v>
      </c>
    </row>
    <row r="772" spans="16:16">
      <c r="P772" s="109" t="s">
        <v>36</v>
      </c>
    </row>
    <row r="773" spans="16:16">
      <c r="P773" s="109" t="s">
        <v>36</v>
      </c>
    </row>
    <row r="774" spans="16:16">
      <c r="P774" s="109" t="s">
        <v>36</v>
      </c>
    </row>
    <row r="775" spans="16:16">
      <c r="P775" s="109" t="s">
        <v>36</v>
      </c>
    </row>
    <row r="776" spans="16:16">
      <c r="P776" s="109" t="s">
        <v>36</v>
      </c>
    </row>
    <row r="777" spans="16:16">
      <c r="P777" s="109" t="s">
        <v>36</v>
      </c>
    </row>
    <row r="778" spans="16:16">
      <c r="P778" s="109" t="s">
        <v>36</v>
      </c>
    </row>
  </sheetData>
  <protectedRanges>
    <protectedRange sqref="J5" name="Normal_1"/>
  </protectedRanges>
  <phoneticPr fontId="43" type="noConversion"/>
  <conditionalFormatting sqref="F5:H1048576 F3:H3">
    <cfRule type="expression" dxfId="5" priority="5">
      <formula>COUNTIF(祝日,$G3)&gt;0</formula>
    </cfRule>
    <cfRule type="expression" dxfId="4" priority="6">
      <formula>WEEKDAY($G3,2)&gt;=6</formula>
    </cfRule>
  </conditionalFormatting>
  <conditionalFormatting sqref="F2:H2">
    <cfRule type="expression" dxfId="3" priority="1">
      <formula>COUNTIF(祝日,$G2)&gt;0</formula>
    </cfRule>
    <cfRule type="expression" dxfId="2" priority="2">
      <formula>WEEKDAY($G2,2)&gt;=6</formula>
    </cfRule>
  </conditionalFormatting>
  <conditionalFormatting sqref="F1:H1">
    <cfRule type="expression" dxfId="1" priority="3">
      <formula>COUNTIF(祝日,$G1)&gt;0</formula>
    </cfRule>
    <cfRule type="expression" dxfId="0" priority="4">
      <formula>WEEKDAY($G1,2)&gt;=6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CDB40-D7F1-46B0-AAF6-E0BB793DC4CA}">
  <sheetPr codeName="Sheet3"/>
  <dimension ref="A1:S187"/>
  <sheetViews>
    <sheetView showGridLines="0" topLeftCell="A16" workbookViewId="0">
      <pane xSplit="4" topLeftCell="E1" activePane="topRight" state="frozen"/>
      <selection pane="topRight" activeCell="B23" sqref="A1:B23"/>
    </sheetView>
  </sheetViews>
  <sheetFormatPr defaultRowHeight="18"/>
  <cols>
    <col min="1" max="1" width="10.9140625" style="76" bestFit="1" customWidth="1"/>
    <col min="2" max="2" width="8.6640625" style="76"/>
    <col min="3" max="3" width="8.6640625" style="76" customWidth="1"/>
    <col min="4" max="4" width="8.6640625" style="76"/>
    <col min="5" max="5" width="0.1640625" style="109" customWidth="1"/>
    <col min="6" max="13" width="8.6640625" style="76"/>
    <col min="14" max="14" width="8.6640625" style="87"/>
    <col min="15" max="16384" width="8.6640625" style="76"/>
  </cols>
  <sheetData>
    <row r="1" spans="1:19">
      <c r="A1" s="1" t="s">
        <v>69</v>
      </c>
      <c r="B1" s="75"/>
      <c r="C1" s="81" t="s">
        <v>68</v>
      </c>
      <c r="E1" s="91" t="s">
        <v>37</v>
      </c>
    </row>
    <row r="2" spans="1:19">
      <c r="A2" s="77">
        <v>43831</v>
      </c>
      <c r="B2" s="76" t="s">
        <v>2</v>
      </c>
      <c r="C2" s="80" t="s">
        <v>210</v>
      </c>
      <c r="E2" s="91" t="s">
        <v>37</v>
      </c>
    </row>
    <row r="3" spans="1:19">
      <c r="A3" s="77">
        <v>43832</v>
      </c>
      <c r="B3" s="76" t="s">
        <v>3</v>
      </c>
      <c r="C3" s="80" t="s">
        <v>211</v>
      </c>
      <c r="E3" s="91" t="s">
        <v>37</v>
      </c>
    </row>
    <row r="4" spans="1:19">
      <c r="A4" s="77">
        <v>43833</v>
      </c>
      <c r="B4" s="76" t="s">
        <v>3</v>
      </c>
      <c r="C4" s="80" t="s">
        <v>212</v>
      </c>
      <c r="E4" s="91" t="s">
        <v>37</v>
      </c>
    </row>
    <row r="5" spans="1:19">
      <c r="A5" s="77">
        <v>43843</v>
      </c>
      <c r="B5" s="76" t="s">
        <v>4</v>
      </c>
      <c r="C5" s="80" t="s">
        <v>213</v>
      </c>
      <c r="E5" s="91" t="s">
        <v>37</v>
      </c>
      <c r="G5" s="1" t="s">
        <v>72</v>
      </c>
      <c r="S5" s="83"/>
    </row>
    <row r="6" spans="1:19">
      <c r="A6" s="77">
        <v>43872</v>
      </c>
      <c r="B6" s="76" t="s">
        <v>5</v>
      </c>
      <c r="C6" s="80" t="s">
        <v>214</v>
      </c>
      <c r="E6" s="91" t="s">
        <v>37</v>
      </c>
      <c r="G6" s="2" t="s">
        <v>203</v>
      </c>
      <c r="H6" s="2" t="s">
        <v>54</v>
      </c>
      <c r="I6" s="2" t="s">
        <v>37</v>
      </c>
    </row>
    <row r="7" spans="1:19">
      <c r="A7" s="77">
        <v>43910</v>
      </c>
      <c r="B7" s="76" t="s">
        <v>6</v>
      </c>
      <c r="C7" s="80" t="s">
        <v>215</v>
      </c>
      <c r="E7" s="91" t="s">
        <v>37</v>
      </c>
      <c r="G7" s="2" t="s">
        <v>53</v>
      </c>
      <c r="H7" s="78" t="s">
        <v>204</v>
      </c>
      <c r="I7" s="2" t="s">
        <v>55</v>
      </c>
      <c r="J7" s="2" t="s">
        <v>37</v>
      </c>
    </row>
    <row r="8" spans="1:19">
      <c r="A8" s="77">
        <v>43950</v>
      </c>
      <c r="B8" s="76" t="s">
        <v>7</v>
      </c>
      <c r="E8" s="91" t="s">
        <v>37</v>
      </c>
      <c r="G8" s="2" t="s">
        <v>58</v>
      </c>
      <c r="H8" s="79" t="s">
        <v>57</v>
      </c>
      <c r="I8" s="2" t="s">
        <v>37</v>
      </c>
    </row>
    <row r="9" spans="1:19">
      <c r="A9" s="77">
        <v>43954</v>
      </c>
      <c r="B9" s="76" t="s">
        <v>8</v>
      </c>
      <c r="C9" s="75" t="s">
        <v>70</v>
      </c>
      <c r="E9" s="91" t="s">
        <v>37</v>
      </c>
      <c r="G9" s="2" t="s">
        <v>59</v>
      </c>
      <c r="H9" s="80" t="s">
        <v>61</v>
      </c>
      <c r="I9" s="2" t="s">
        <v>60</v>
      </c>
      <c r="J9" s="2" t="s">
        <v>37</v>
      </c>
    </row>
    <row r="10" spans="1:19">
      <c r="A10" s="77">
        <v>43955</v>
      </c>
      <c r="B10" s="76" t="s">
        <v>9</v>
      </c>
      <c r="C10" s="85">
        <v>1</v>
      </c>
      <c r="D10" s="76" t="s">
        <v>45</v>
      </c>
      <c r="E10" s="91" t="s">
        <v>37</v>
      </c>
      <c r="G10" s="2" t="s">
        <v>65</v>
      </c>
      <c r="H10" s="2" t="s">
        <v>67</v>
      </c>
      <c r="I10" s="2" t="s">
        <v>37</v>
      </c>
    </row>
    <row r="11" spans="1:19">
      <c r="A11" s="77">
        <v>43956</v>
      </c>
      <c r="B11" s="76" t="s">
        <v>10</v>
      </c>
      <c r="C11" s="85">
        <v>2</v>
      </c>
      <c r="D11" s="76" t="s">
        <v>40</v>
      </c>
      <c r="E11" s="91" t="s">
        <v>37</v>
      </c>
      <c r="G11" s="2" t="s">
        <v>66</v>
      </c>
      <c r="H11" s="2" t="s">
        <v>63</v>
      </c>
      <c r="I11" s="2" t="s">
        <v>37</v>
      </c>
    </row>
    <row r="12" spans="1:19">
      <c r="A12" s="77">
        <v>43957</v>
      </c>
      <c r="B12" s="76" t="s">
        <v>11</v>
      </c>
      <c r="C12" s="85">
        <v>3</v>
      </c>
      <c r="D12" s="76" t="s">
        <v>41</v>
      </c>
      <c r="E12" s="91" t="s">
        <v>37</v>
      </c>
      <c r="G12" s="2" t="s">
        <v>64</v>
      </c>
      <c r="H12" s="2" t="s">
        <v>62</v>
      </c>
      <c r="I12" s="2" t="s">
        <v>37</v>
      </c>
    </row>
    <row r="13" spans="1:19">
      <c r="A13" s="77">
        <v>44035</v>
      </c>
      <c r="B13" s="76" t="s">
        <v>30</v>
      </c>
      <c r="C13" s="85">
        <v>4</v>
      </c>
      <c r="D13" s="76" t="s">
        <v>42</v>
      </c>
      <c r="E13" s="91" t="s">
        <v>37</v>
      </c>
      <c r="G13" s="2" t="s">
        <v>205</v>
      </c>
      <c r="H13" s="2" t="s">
        <v>56</v>
      </c>
      <c r="I13" s="2" t="s">
        <v>37</v>
      </c>
      <c r="M13" s="87"/>
      <c r="N13" s="76"/>
    </row>
    <row r="14" spans="1:19">
      <c r="A14" s="77">
        <v>44036</v>
      </c>
      <c r="B14" s="76" t="s">
        <v>12</v>
      </c>
      <c r="C14" s="85">
        <v>5</v>
      </c>
      <c r="D14" s="76" t="s">
        <v>40</v>
      </c>
      <c r="E14" s="91" t="s">
        <v>37</v>
      </c>
    </row>
    <row r="15" spans="1:19">
      <c r="A15" s="77">
        <v>44053</v>
      </c>
      <c r="B15" s="76" t="s">
        <v>13</v>
      </c>
      <c r="C15" s="85">
        <v>6</v>
      </c>
      <c r="D15" s="76" t="s">
        <v>43</v>
      </c>
      <c r="E15" s="91" t="s">
        <v>37</v>
      </c>
      <c r="G15" s="1" t="s">
        <v>71</v>
      </c>
      <c r="I15" s="2"/>
    </row>
    <row r="16" spans="1:19">
      <c r="A16" s="77">
        <v>44095</v>
      </c>
      <c r="B16" s="76" t="s">
        <v>14</v>
      </c>
      <c r="C16" s="85">
        <v>7</v>
      </c>
      <c r="D16" s="76" t="s">
        <v>44</v>
      </c>
      <c r="E16" s="91" t="s">
        <v>37</v>
      </c>
      <c r="G16" s="2" t="s">
        <v>49</v>
      </c>
      <c r="H16" s="76" t="s">
        <v>46</v>
      </c>
      <c r="I16" s="2" t="s">
        <v>37</v>
      </c>
    </row>
    <row r="17" spans="1:14">
      <c r="A17" s="77">
        <v>44096</v>
      </c>
      <c r="B17" s="76" t="s">
        <v>15</v>
      </c>
      <c r="E17" s="91" t="s">
        <v>37</v>
      </c>
      <c r="G17" s="2" t="s">
        <v>50</v>
      </c>
      <c r="H17" s="76" t="s">
        <v>47</v>
      </c>
      <c r="I17" s="2" t="s">
        <v>37</v>
      </c>
    </row>
    <row r="18" spans="1:14">
      <c r="A18" s="77">
        <v>44116</v>
      </c>
      <c r="B18" s="76" t="s">
        <v>16</v>
      </c>
      <c r="E18" s="91" t="s">
        <v>37</v>
      </c>
      <c r="G18" s="2" t="s">
        <v>51</v>
      </c>
      <c r="H18" s="76" t="s">
        <v>48</v>
      </c>
      <c r="I18" s="2" t="s">
        <v>37</v>
      </c>
      <c r="M18" s="87"/>
      <c r="N18" s="76"/>
    </row>
    <row r="19" spans="1:14">
      <c r="A19" s="77">
        <v>44138</v>
      </c>
      <c r="B19" s="76" t="s">
        <v>17</v>
      </c>
      <c r="E19" s="91" t="s">
        <v>37</v>
      </c>
      <c r="K19" s="80"/>
      <c r="L19" s="80"/>
    </row>
    <row r="20" spans="1:14">
      <c r="A20" s="77">
        <v>44158</v>
      </c>
      <c r="B20" s="76" t="s">
        <v>18</v>
      </c>
      <c r="E20" s="91" t="s">
        <v>37</v>
      </c>
      <c r="G20" s="1" t="s">
        <v>88</v>
      </c>
      <c r="H20" s="87"/>
      <c r="L20" s="80"/>
    </row>
    <row r="21" spans="1:14">
      <c r="A21" s="77">
        <v>43885</v>
      </c>
      <c r="B21" s="76" t="s">
        <v>19</v>
      </c>
      <c r="E21" s="91" t="s">
        <v>37</v>
      </c>
      <c r="G21" s="82">
        <v>44197</v>
      </c>
      <c r="H21" s="88" t="s">
        <v>73</v>
      </c>
      <c r="I21" s="89" t="s">
        <v>74</v>
      </c>
      <c r="J21" s="83" t="s">
        <v>36</v>
      </c>
      <c r="K21" s="83"/>
    </row>
    <row r="22" spans="1:14">
      <c r="A22" s="77">
        <v>44195</v>
      </c>
      <c r="B22" s="76" t="s">
        <v>20</v>
      </c>
      <c r="E22" s="91" t="s">
        <v>37</v>
      </c>
      <c r="G22" s="82">
        <v>44198</v>
      </c>
      <c r="H22" s="88" t="s">
        <v>75</v>
      </c>
      <c r="I22" s="89" t="s">
        <v>76</v>
      </c>
      <c r="J22" s="83" t="s">
        <v>36</v>
      </c>
    </row>
    <row r="23" spans="1:14">
      <c r="A23" s="77">
        <v>44196</v>
      </c>
      <c r="B23" s="76" t="s">
        <v>20</v>
      </c>
      <c r="E23" s="91" t="s">
        <v>37</v>
      </c>
      <c r="G23" s="82">
        <v>44199</v>
      </c>
      <c r="H23" s="88" t="s">
        <v>77</v>
      </c>
      <c r="I23" s="89" t="s">
        <v>78</v>
      </c>
      <c r="J23" s="83" t="s">
        <v>36</v>
      </c>
    </row>
    <row r="24" spans="1:14">
      <c r="E24" s="91" t="s">
        <v>37</v>
      </c>
      <c r="G24" s="82">
        <v>44204</v>
      </c>
      <c r="H24" s="88" t="s">
        <v>73</v>
      </c>
      <c r="I24" s="89" t="s">
        <v>79</v>
      </c>
      <c r="J24" s="89" t="s">
        <v>80</v>
      </c>
      <c r="K24" s="2" t="s">
        <v>37</v>
      </c>
    </row>
    <row r="25" spans="1:14">
      <c r="E25" s="91" t="s">
        <v>37</v>
      </c>
      <c r="G25" s="82">
        <v>44230</v>
      </c>
      <c r="H25" s="88" t="s">
        <v>81</v>
      </c>
      <c r="I25" s="89" t="s">
        <v>82</v>
      </c>
      <c r="J25" s="83" t="s">
        <v>36</v>
      </c>
    </row>
    <row r="26" spans="1:14">
      <c r="E26" s="91" t="s">
        <v>37</v>
      </c>
      <c r="G26" s="82">
        <v>44231</v>
      </c>
      <c r="H26" s="88" t="s">
        <v>83</v>
      </c>
      <c r="I26" s="89" t="s">
        <v>84</v>
      </c>
      <c r="J26" s="80" t="s">
        <v>36</v>
      </c>
    </row>
    <row r="27" spans="1:14">
      <c r="E27" s="91" t="s">
        <v>37</v>
      </c>
      <c r="G27" s="82">
        <v>44257</v>
      </c>
      <c r="H27" s="88" t="s">
        <v>85</v>
      </c>
      <c r="I27" s="90" t="s">
        <v>86</v>
      </c>
      <c r="J27" s="80" t="s">
        <v>36</v>
      </c>
    </row>
    <row r="28" spans="1:14">
      <c r="E28" s="91" t="s">
        <v>37</v>
      </c>
    </row>
    <row r="29" spans="1:14">
      <c r="E29" s="91" t="s">
        <v>37</v>
      </c>
    </row>
    <row r="30" spans="1:14">
      <c r="E30" s="91" t="s">
        <v>37</v>
      </c>
    </row>
    <row r="31" spans="1:14">
      <c r="E31" s="91" t="s">
        <v>37</v>
      </c>
    </row>
    <row r="32" spans="1:14">
      <c r="E32" s="91" t="s">
        <v>37</v>
      </c>
    </row>
    <row r="33" spans="5:5">
      <c r="E33" s="91" t="s">
        <v>37</v>
      </c>
    </row>
    <row r="34" spans="5:5">
      <c r="E34" s="91" t="s">
        <v>37</v>
      </c>
    </row>
    <row r="35" spans="5:5">
      <c r="E35" s="91" t="s">
        <v>37</v>
      </c>
    </row>
    <row r="36" spans="5:5">
      <c r="E36" s="91" t="s">
        <v>37</v>
      </c>
    </row>
    <row r="37" spans="5:5">
      <c r="E37" s="91" t="s">
        <v>37</v>
      </c>
    </row>
    <row r="38" spans="5:5">
      <c r="E38" s="91" t="s">
        <v>37</v>
      </c>
    </row>
    <row r="39" spans="5:5">
      <c r="E39" s="91" t="s">
        <v>37</v>
      </c>
    </row>
    <row r="40" spans="5:5">
      <c r="E40" s="91" t="s">
        <v>37</v>
      </c>
    </row>
    <row r="41" spans="5:5">
      <c r="E41" s="91" t="s">
        <v>37</v>
      </c>
    </row>
    <row r="42" spans="5:5">
      <c r="E42" s="91" t="s">
        <v>37</v>
      </c>
    </row>
    <row r="43" spans="5:5">
      <c r="E43" s="91" t="s">
        <v>37</v>
      </c>
    </row>
    <row r="44" spans="5:5">
      <c r="E44" s="91" t="s">
        <v>37</v>
      </c>
    </row>
    <row r="45" spans="5:5">
      <c r="E45" s="91" t="s">
        <v>37</v>
      </c>
    </row>
    <row r="46" spans="5:5">
      <c r="E46" s="91" t="s">
        <v>37</v>
      </c>
    </row>
    <row r="47" spans="5:5">
      <c r="E47" s="91" t="s">
        <v>37</v>
      </c>
    </row>
    <row r="48" spans="5:5">
      <c r="E48" s="91" t="s">
        <v>37</v>
      </c>
    </row>
    <row r="49" spans="5:5">
      <c r="E49" s="91" t="s">
        <v>37</v>
      </c>
    </row>
    <row r="50" spans="5:5">
      <c r="E50" s="91" t="s">
        <v>37</v>
      </c>
    </row>
    <row r="51" spans="5:5">
      <c r="E51" s="91" t="s">
        <v>37</v>
      </c>
    </row>
    <row r="52" spans="5:5">
      <c r="E52" s="91" t="s">
        <v>37</v>
      </c>
    </row>
    <row r="53" spans="5:5">
      <c r="E53" s="91" t="s">
        <v>37</v>
      </c>
    </row>
    <row r="54" spans="5:5">
      <c r="E54" s="91" t="s">
        <v>37</v>
      </c>
    </row>
    <row r="55" spans="5:5">
      <c r="E55" s="91" t="s">
        <v>37</v>
      </c>
    </row>
    <row r="56" spans="5:5">
      <c r="E56" s="91" t="s">
        <v>37</v>
      </c>
    </row>
    <row r="57" spans="5:5">
      <c r="E57" s="91" t="s">
        <v>37</v>
      </c>
    </row>
    <row r="58" spans="5:5">
      <c r="E58" s="91" t="s">
        <v>37</v>
      </c>
    </row>
    <row r="59" spans="5:5">
      <c r="E59" s="91" t="s">
        <v>37</v>
      </c>
    </row>
    <row r="60" spans="5:5">
      <c r="E60" s="91" t="s">
        <v>37</v>
      </c>
    </row>
    <row r="61" spans="5:5">
      <c r="E61" s="91" t="s">
        <v>37</v>
      </c>
    </row>
    <row r="62" spans="5:5">
      <c r="E62" s="91" t="s">
        <v>37</v>
      </c>
    </row>
    <row r="63" spans="5:5">
      <c r="E63" s="91" t="s">
        <v>37</v>
      </c>
    </row>
    <row r="64" spans="5:5">
      <c r="E64" s="91" t="s">
        <v>37</v>
      </c>
    </row>
    <row r="65" spans="5:5">
      <c r="E65" s="91" t="s">
        <v>37</v>
      </c>
    </row>
    <row r="66" spans="5:5">
      <c r="E66" s="91" t="s">
        <v>37</v>
      </c>
    </row>
    <row r="67" spans="5:5">
      <c r="E67" s="91" t="s">
        <v>37</v>
      </c>
    </row>
    <row r="68" spans="5:5">
      <c r="E68" s="91" t="s">
        <v>37</v>
      </c>
    </row>
    <row r="69" spans="5:5">
      <c r="E69" s="91" t="s">
        <v>37</v>
      </c>
    </row>
    <row r="70" spans="5:5">
      <c r="E70" s="91" t="s">
        <v>37</v>
      </c>
    </row>
    <row r="71" spans="5:5">
      <c r="E71" s="91" t="s">
        <v>37</v>
      </c>
    </row>
    <row r="72" spans="5:5">
      <c r="E72" s="91" t="s">
        <v>37</v>
      </c>
    </row>
    <row r="73" spans="5:5">
      <c r="E73" s="91" t="s">
        <v>37</v>
      </c>
    </row>
    <row r="74" spans="5:5">
      <c r="E74" s="91" t="s">
        <v>37</v>
      </c>
    </row>
    <row r="75" spans="5:5">
      <c r="E75" s="91" t="s">
        <v>37</v>
      </c>
    </row>
    <row r="76" spans="5:5">
      <c r="E76" s="91" t="s">
        <v>37</v>
      </c>
    </row>
    <row r="77" spans="5:5">
      <c r="E77" s="91" t="s">
        <v>37</v>
      </c>
    </row>
    <row r="78" spans="5:5">
      <c r="E78" s="91" t="s">
        <v>37</v>
      </c>
    </row>
    <row r="79" spans="5:5">
      <c r="E79" s="91" t="s">
        <v>37</v>
      </c>
    </row>
    <row r="80" spans="5:5">
      <c r="E80" s="91" t="s">
        <v>37</v>
      </c>
    </row>
    <row r="81" spans="5:5">
      <c r="E81" s="91" t="s">
        <v>37</v>
      </c>
    </row>
    <row r="82" spans="5:5">
      <c r="E82" s="91" t="s">
        <v>37</v>
      </c>
    </row>
    <row r="83" spans="5:5">
      <c r="E83" s="91" t="s">
        <v>37</v>
      </c>
    </row>
    <row r="84" spans="5:5">
      <c r="E84" s="91" t="s">
        <v>37</v>
      </c>
    </row>
    <row r="85" spans="5:5">
      <c r="E85" s="91" t="s">
        <v>37</v>
      </c>
    </row>
    <row r="86" spans="5:5">
      <c r="E86" s="91" t="s">
        <v>37</v>
      </c>
    </row>
    <row r="87" spans="5:5">
      <c r="E87" s="91" t="s">
        <v>37</v>
      </c>
    </row>
    <row r="88" spans="5:5">
      <c r="E88" s="91" t="s">
        <v>37</v>
      </c>
    </row>
    <row r="89" spans="5:5">
      <c r="E89" s="91" t="s">
        <v>37</v>
      </c>
    </row>
    <row r="90" spans="5:5">
      <c r="E90" s="91" t="s">
        <v>37</v>
      </c>
    </row>
    <row r="91" spans="5:5">
      <c r="E91" s="91" t="s">
        <v>37</v>
      </c>
    </row>
    <row r="92" spans="5:5">
      <c r="E92" s="91" t="s">
        <v>37</v>
      </c>
    </row>
    <row r="93" spans="5:5">
      <c r="E93" s="91" t="s">
        <v>37</v>
      </c>
    </row>
    <row r="94" spans="5:5">
      <c r="E94" s="91" t="s">
        <v>37</v>
      </c>
    </row>
    <row r="95" spans="5:5">
      <c r="E95" s="91" t="s">
        <v>37</v>
      </c>
    </row>
    <row r="96" spans="5:5">
      <c r="E96" s="91" t="s">
        <v>37</v>
      </c>
    </row>
    <row r="97" spans="5:5">
      <c r="E97" s="91" t="s">
        <v>37</v>
      </c>
    </row>
    <row r="98" spans="5:5">
      <c r="E98" s="91" t="s">
        <v>37</v>
      </c>
    </row>
    <row r="99" spans="5:5">
      <c r="E99" s="91" t="s">
        <v>37</v>
      </c>
    </row>
    <row r="100" spans="5:5">
      <c r="E100" s="91" t="s">
        <v>37</v>
      </c>
    </row>
    <row r="101" spans="5:5">
      <c r="E101" s="91" t="s">
        <v>37</v>
      </c>
    </row>
    <row r="102" spans="5:5">
      <c r="E102" s="91" t="s">
        <v>37</v>
      </c>
    </row>
    <row r="103" spans="5:5">
      <c r="E103" s="91" t="s">
        <v>37</v>
      </c>
    </row>
    <row r="104" spans="5:5">
      <c r="E104" s="91" t="s">
        <v>37</v>
      </c>
    </row>
    <row r="105" spans="5:5">
      <c r="E105" s="91" t="s">
        <v>37</v>
      </c>
    </row>
    <row r="106" spans="5:5">
      <c r="E106" s="91" t="s">
        <v>37</v>
      </c>
    </row>
    <row r="107" spans="5:5">
      <c r="E107" s="91" t="s">
        <v>37</v>
      </c>
    </row>
    <row r="108" spans="5:5">
      <c r="E108" s="91" t="s">
        <v>37</v>
      </c>
    </row>
    <row r="109" spans="5:5">
      <c r="E109" s="91" t="s">
        <v>37</v>
      </c>
    </row>
    <row r="110" spans="5:5">
      <c r="E110" s="91" t="s">
        <v>37</v>
      </c>
    </row>
    <row r="111" spans="5:5">
      <c r="E111" s="91" t="s">
        <v>37</v>
      </c>
    </row>
    <row r="112" spans="5:5">
      <c r="E112" s="91" t="s">
        <v>37</v>
      </c>
    </row>
    <row r="113" spans="5:5">
      <c r="E113" s="91" t="s">
        <v>37</v>
      </c>
    </row>
    <row r="114" spans="5:5">
      <c r="E114" s="91" t="s">
        <v>37</v>
      </c>
    </row>
    <row r="115" spans="5:5">
      <c r="E115" s="91" t="s">
        <v>37</v>
      </c>
    </row>
    <row r="116" spans="5:5">
      <c r="E116" s="91" t="s">
        <v>37</v>
      </c>
    </row>
    <row r="117" spans="5:5">
      <c r="E117" s="91" t="s">
        <v>37</v>
      </c>
    </row>
    <row r="118" spans="5:5">
      <c r="E118" s="91" t="s">
        <v>37</v>
      </c>
    </row>
    <row r="119" spans="5:5">
      <c r="E119" s="91" t="s">
        <v>37</v>
      </c>
    </row>
    <row r="120" spans="5:5">
      <c r="E120" s="91" t="s">
        <v>37</v>
      </c>
    </row>
    <row r="121" spans="5:5">
      <c r="E121" s="91" t="s">
        <v>37</v>
      </c>
    </row>
    <row r="122" spans="5:5">
      <c r="E122" s="91" t="s">
        <v>37</v>
      </c>
    </row>
    <row r="123" spans="5:5">
      <c r="E123" s="91" t="s">
        <v>37</v>
      </c>
    </row>
    <row r="124" spans="5:5">
      <c r="E124" s="91" t="s">
        <v>37</v>
      </c>
    </row>
    <row r="125" spans="5:5">
      <c r="E125" s="91" t="s">
        <v>37</v>
      </c>
    </row>
    <row r="126" spans="5:5">
      <c r="E126" s="91" t="s">
        <v>37</v>
      </c>
    </row>
    <row r="127" spans="5:5">
      <c r="E127" s="91" t="s">
        <v>37</v>
      </c>
    </row>
    <row r="128" spans="5:5">
      <c r="E128" s="91" t="s">
        <v>37</v>
      </c>
    </row>
    <row r="129" spans="5:5">
      <c r="E129" s="91" t="s">
        <v>37</v>
      </c>
    </row>
    <row r="130" spans="5:5">
      <c r="E130" s="91" t="s">
        <v>37</v>
      </c>
    </row>
    <row r="131" spans="5:5">
      <c r="E131" s="91" t="s">
        <v>37</v>
      </c>
    </row>
    <row r="132" spans="5:5">
      <c r="E132" s="91" t="s">
        <v>37</v>
      </c>
    </row>
    <row r="133" spans="5:5">
      <c r="E133" s="91" t="s">
        <v>37</v>
      </c>
    </row>
    <row r="134" spans="5:5">
      <c r="E134" s="91" t="s">
        <v>37</v>
      </c>
    </row>
    <row r="135" spans="5:5">
      <c r="E135" s="91" t="s">
        <v>37</v>
      </c>
    </row>
    <row r="136" spans="5:5">
      <c r="E136" s="91" t="s">
        <v>37</v>
      </c>
    </row>
    <row r="137" spans="5:5">
      <c r="E137" s="91" t="s">
        <v>37</v>
      </c>
    </row>
    <row r="138" spans="5:5">
      <c r="E138" s="91" t="s">
        <v>37</v>
      </c>
    </row>
    <row r="139" spans="5:5">
      <c r="E139" s="91" t="s">
        <v>37</v>
      </c>
    </row>
    <row r="140" spans="5:5">
      <c r="E140" s="91" t="s">
        <v>37</v>
      </c>
    </row>
    <row r="141" spans="5:5">
      <c r="E141" s="91" t="s">
        <v>37</v>
      </c>
    </row>
    <row r="142" spans="5:5">
      <c r="E142" s="91" t="s">
        <v>37</v>
      </c>
    </row>
    <row r="143" spans="5:5">
      <c r="E143" s="91" t="s">
        <v>37</v>
      </c>
    </row>
    <row r="144" spans="5:5">
      <c r="E144" s="91" t="s">
        <v>37</v>
      </c>
    </row>
    <row r="145" spans="5:5">
      <c r="E145" s="91" t="s">
        <v>37</v>
      </c>
    </row>
    <row r="146" spans="5:5">
      <c r="E146" s="91" t="s">
        <v>37</v>
      </c>
    </row>
    <row r="147" spans="5:5">
      <c r="E147" s="91" t="s">
        <v>37</v>
      </c>
    </row>
    <row r="148" spans="5:5">
      <c r="E148" s="91" t="s">
        <v>37</v>
      </c>
    </row>
    <row r="149" spans="5:5">
      <c r="E149" s="91" t="s">
        <v>37</v>
      </c>
    </row>
    <row r="150" spans="5:5">
      <c r="E150" s="91" t="s">
        <v>37</v>
      </c>
    </row>
    <row r="151" spans="5:5">
      <c r="E151" s="91" t="s">
        <v>37</v>
      </c>
    </row>
    <row r="152" spans="5:5">
      <c r="E152" s="91" t="s">
        <v>37</v>
      </c>
    </row>
    <row r="153" spans="5:5">
      <c r="E153" s="91" t="s">
        <v>37</v>
      </c>
    </row>
    <row r="154" spans="5:5">
      <c r="E154" s="91" t="s">
        <v>37</v>
      </c>
    </row>
    <row r="155" spans="5:5">
      <c r="E155" s="91" t="s">
        <v>37</v>
      </c>
    </row>
    <row r="156" spans="5:5">
      <c r="E156" s="91" t="s">
        <v>37</v>
      </c>
    </row>
    <row r="157" spans="5:5">
      <c r="E157" s="91" t="s">
        <v>37</v>
      </c>
    </row>
    <row r="158" spans="5:5">
      <c r="E158" s="91" t="s">
        <v>37</v>
      </c>
    </row>
    <row r="159" spans="5:5">
      <c r="E159" s="91" t="s">
        <v>37</v>
      </c>
    </row>
    <row r="160" spans="5:5">
      <c r="E160" s="91" t="s">
        <v>37</v>
      </c>
    </row>
    <row r="161" spans="5:5">
      <c r="E161" s="91" t="s">
        <v>37</v>
      </c>
    </row>
    <row r="162" spans="5:5">
      <c r="E162" s="91" t="s">
        <v>37</v>
      </c>
    </row>
    <row r="163" spans="5:5">
      <c r="E163" s="91" t="s">
        <v>37</v>
      </c>
    </row>
    <row r="164" spans="5:5">
      <c r="E164" s="91" t="s">
        <v>37</v>
      </c>
    </row>
    <row r="165" spans="5:5">
      <c r="E165" s="91" t="s">
        <v>37</v>
      </c>
    </row>
    <row r="166" spans="5:5">
      <c r="E166" s="91" t="s">
        <v>37</v>
      </c>
    </row>
    <row r="167" spans="5:5">
      <c r="E167" s="91" t="s">
        <v>37</v>
      </c>
    </row>
    <row r="168" spans="5:5">
      <c r="E168" s="91" t="s">
        <v>37</v>
      </c>
    </row>
    <row r="169" spans="5:5">
      <c r="E169" s="91" t="s">
        <v>37</v>
      </c>
    </row>
    <row r="170" spans="5:5">
      <c r="E170" s="91" t="s">
        <v>37</v>
      </c>
    </row>
    <row r="171" spans="5:5">
      <c r="E171" s="91" t="s">
        <v>37</v>
      </c>
    </row>
    <row r="172" spans="5:5">
      <c r="E172" s="91" t="s">
        <v>37</v>
      </c>
    </row>
    <row r="173" spans="5:5">
      <c r="E173" s="91" t="s">
        <v>37</v>
      </c>
    </row>
    <row r="174" spans="5:5">
      <c r="E174" s="91" t="s">
        <v>37</v>
      </c>
    </row>
    <row r="175" spans="5:5">
      <c r="E175" s="91" t="s">
        <v>37</v>
      </c>
    </row>
    <row r="176" spans="5:5">
      <c r="E176" s="91" t="s">
        <v>37</v>
      </c>
    </row>
    <row r="177" spans="5:5">
      <c r="E177" s="91" t="s">
        <v>37</v>
      </c>
    </row>
    <row r="178" spans="5:5">
      <c r="E178" s="91" t="s">
        <v>37</v>
      </c>
    </row>
    <row r="179" spans="5:5">
      <c r="E179" s="91" t="s">
        <v>37</v>
      </c>
    </row>
    <row r="180" spans="5:5">
      <c r="E180" s="91" t="s">
        <v>37</v>
      </c>
    </row>
    <row r="181" spans="5:5">
      <c r="E181" s="91" t="s">
        <v>37</v>
      </c>
    </row>
    <row r="182" spans="5:5">
      <c r="E182" s="91" t="s">
        <v>37</v>
      </c>
    </row>
    <row r="183" spans="5:5">
      <c r="E183" s="91" t="s">
        <v>37</v>
      </c>
    </row>
    <row r="184" spans="5:5">
      <c r="E184" s="91" t="s">
        <v>37</v>
      </c>
    </row>
    <row r="185" spans="5:5">
      <c r="E185" s="91" t="s">
        <v>37</v>
      </c>
    </row>
    <row r="186" spans="5:5">
      <c r="E186" s="91" t="s">
        <v>37</v>
      </c>
    </row>
    <row r="187" spans="5:5">
      <c r="E187" s="91" t="s">
        <v>37</v>
      </c>
    </row>
  </sheetData>
  <protectedRanges>
    <protectedRange sqref="G21:J23" name="Normal"/>
    <protectedRange sqref="G24:J24 S5 K21" name="Normal_1"/>
    <protectedRange sqref="G25:J26" name="Normal_2"/>
    <protectedRange sqref="G27:J27" name="Normal_3"/>
  </protectedRanges>
  <phoneticPr fontId="4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Monthly</vt:lpstr>
      <vt:lpstr>Plan</vt:lpstr>
      <vt:lpstr>Diary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양동화</dc:creator>
  <cp:lastModifiedBy>양동화</cp:lastModifiedBy>
  <dcterms:created xsi:type="dcterms:W3CDTF">2020-09-08T03:46:50Z</dcterms:created>
  <dcterms:modified xsi:type="dcterms:W3CDTF">2020-10-04T05:35:07Z</dcterms:modified>
</cp:coreProperties>
</file>