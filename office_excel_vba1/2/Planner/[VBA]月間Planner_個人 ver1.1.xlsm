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dhvo\Desktop\Kimschool_VBA3\Portfolio\Planner\"/>
    </mc:Choice>
  </mc:AlternateContent>
  <xr:revisionPtr revIDLastSave="0" documentId="13_ncr:1_{CF396094-05AD-4AEA-8993-1F224634EC98}" xr6:coauthVersionLast="45" xr6:coauthVersionMax="45" xr10:uidLastSave="{00000000-0000-0000-0000-000000000000}"/>
  <bookViews>
    <workbookView xWindow="-110" yWindow="-110" windowWidth="19420" windowHeight="11020" xr2:uid="{846A6672-5D3E-4F46-A637-369623CC89FA}"/>
  </bookViews>
  <sheets>
    <sheet name="Monthly" sheetId="1" r:id="rId1"/>
    <sheet name="Plan" sheetId="2" r:id="rId2"/>
  </sheets>
  <functionGroups builtInGroupCount="19"/>
  <definedNames>
    <definedName name="祝日">OFFSET(Plan!$A$1,1,0,COUNTA(Plan!$A:$A)-1,2)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" l="1"/>
  <c r="G2" i="2" l="1"/>
  <c r="H2" i="2" s="1"/>
  <c r="D14" i="1"/>
  <c r="G3" i="2" l="1"/>
  <c r="H3" i="2" l="1"/>
  <c r="G4" i="2"/>
  <c r="G5" i="2" l="1"/>
  <c r="H4" i="2"/>
  <c r="G6" i="2" l="1"/>
  <c r="H5" i="2"/>
  <c r="G7" i="2" l="1"/>
  <c r="H6" i="2"/>
  <c r="G8" i="2" l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G209" i="2" s="1"/>
  <c r="G210" i="2" s="1"/>
  <c r="G211" i="2" s="1"/>
  <c r="G212" i="2" s="1"/>
  <c r="G213" i="2" s="1"/>
  <c r="G214" i="2" s="1"/>
  <c r="G215" i="2" s="1"/>
  <c r="G216" i="2" s="1"/>
  <c r="G217" i="2" s="1"/>
  <c r="G218" i="2" s="1"/>
  <c r="G219" i="2" s="1"/>
  <c r="G220" i="2" s="1"/>
  <c r="G221" i="2" s="1"/>
  <c r="G222" i="2" s="1"/>
  <c r="G223" i="2" s="1"/>
  <c r="G224" i="2" s="1"/>
  <c r="G225" i="2" s="1"/>
  <c r="G226" i="2" s="1"/>
  <c r="G227" i="2" s="1"/>
  <c r="G228" i="2" s="1"/>
  <c r="G229" i="2" s="1"/>
  <c r="G230" i="2" s="1"/>
  <c r="G231" i="2" s="1"/>
  <c r="G232" i="2" s="1"/>
  <c r="G233" i="2" s="1"/>
  <c r="G234" i="2" s="1"/>
  <c r="G235" i="2" s="1"/>
  <c r="G236" i="2" s="1"/>
  <c r="G237" i="2" s="1"/>
  <c r="G238" i="2" s="1"/>
  <c r="G239" i="2" s="1"/>
  <c r="G240" i="2" s="1"/>
  <c r="G241" i="2" s="1"/>
  <c r="G242" i="2" s="1"/>
  <c r="G243" i="2" s="1"/>
  <c r="G244" i="2" s="1"/>
  <c r="G245" i="2" s="1"/>
  <c r="G246" i="2" s="1"/>
  <c r="G247" i="2" s="1"/>
  <c r="G248" i="2" s="1"/>
  <c r="G249" i="2" s="1"/>
  <c r="G250" i="2" s="1"/>
  <c r="G251" i="2" s="1"/>
  <c r="G252" i="2" s="1"/>
  <c r="G253" i="2" s="1"/>
  <c r="H7" i="2"/>
  <c r="H8" i="2" l="1"/>
  <c r="H9" i="2" l="1"/>
  <c r="H10" i="2" l="1"/>
  <c r="H11" i="2" l="1"/>
  <c r="H12" i="2" l="1"/>
  <c r="H13" i="2" l="1"/>
  <c r="H14" i="2" l="1"/>
  <c r="H15" i="2" l="1"/>
  <c r="H16" i="2" l="1"/>
  <c r="H17" i="2" l="1"/>
  <c r="H18" i="2" l="1"/>
  <c r="H19" i="2" l="1"/>
  <c r="H20" i="2" l="1"/>
  <c r="H21" i="2" l="1"/>
  <c r="H22" i="2" l="1"/>
  <c r="H23" i="2" l="1"/>
  <c r="H24" i="2" l="1"/>
  <c r="H25" i="2" l="1"/>
  <c r="H26" i="2" l="1"/>
  <c r="H27" i="2" l="1"/>
  <c r="H28" i="2" l="1"/>
  <c r="H29" i="2" l="1"/>
  <c r="H30" i="2" l="1"/>
  <c r="H31" i="2" l="1"/>
  <c r="A9" i="1"/>
  <c r="C9" i="1"/>
  <c r="E9" i="1"/>
  <c r="G9" i="1"/>
  <c r="I9" i="1"/>
  <c r="K9" i="1"/>
  <c r="M9" i="1"/>
  <c r="B10" i="1"/>
  <c r="D10" i="1"/>
  <c r="F10" i="1"/>
  <c r="H10" i="1"/>
  <c r="J10" i="1"/>
  <c r="L10" i="1"/>
  <c r="N10" i="1"/>
  <c r="B12" i="1"/>
  <c r="D12" i="1"/>
  <c r="F12" i="1"/>
  <c r="H12" i="1"/>
  <c r="J12" i="1"/>
  <c r="L12" i="1"/>
  <c r="N12" i="1"/>
  <c r="B14" i="1"/>
  <c r="F14" i="1"/>
  <c r="H14" i="1"/>
  <c r="J14" i="1"/>
  <c r="L14" i="1"/>
  <c r="N14" i="1"/>
  <c r="B16" i="1"/>
  <c r="D16" i="1"/>
  <c r="F16" i="1"/>
  <c r="H16" i="1"/>
  <c r="J16" i="1"/>
  <c r="L16" i="1"/>
  <c r="N16" i="1"/>
  <c r="B18" i="1"/>
  <c r="D18" i="1"/>
  <c r="F18" i="1"/>
  <c r="H18" i="1"/>
  <c r="J18" i="1"/>
  <c r="L18" i="1"/>
  <c r="N18" i="1"/>
  <c r="B20" i="1"/>
  <c r="D20" i="1"/>
  <c r="W2" i="1"/>
  <c r="X2" i="1"/>
  <c r="Y2" i="1"/>
  <c r="Z2" i="1"/>
  <c r="AA2" i="1"/>
  <c r="AB2" i="1"/>
  <c r="AC2" i="1"/>
  <c r="AE2" i="1"/>
  <c r="AF2" i="1"/>
  <c r="AG2" i="1"/>
  <c r="AH2" i="1"/>
  <c r="AI2" i="1"/>
  <c r="AJ2" i="1"/>
  <c r="AK2" i="1"/>
  <c r="H32" i="2" l="1"/>
  <c r="A1" i="1"/>
  <c r="W1" i="1" s="1"/>
  <c r="H33" i="2" l="1"/>
  <c r="AE1" i="1"/>
  <c r="H34" i="2" l="1"/>
  <c r="H35" i="2" l="1"/>
  <c r="H36" i="2" l="1"/>
  <c r="H37" i="2" l="1"/>
  <c r="H38" i="2" l="1"/>
  <c r="H39" i="2" l="1"/>
  <c r="H40" i="2" l="1"/>
  <c r="H41" i="2" l="1"/>
  <c r="H42" i="2" l="1"/>
  <c r="H43" i="2" l="1"/>
  <c r="H44" i="2" l="1"/>
  <c r="H45" i="2" l="1"/>
  <c r="H46" i="2" l="1"/>
  <c r="H47" i="2" l="1"/>
  <c r="H48" i="2" l="1"/>
  <c r="H49" i="2" l="1"/>
  <c r="H50" i="2" l="1"/>
  <c r="H51" i="2" l="1"/>
  <c r="H52" i="2" l="1"/>
  <c r="H53" i="2" l="1"/>
  <c r="H54" i="2" l="1"/>
  <c r="H55" i="2" l="1"/>
  <c r="H56" i="2" l="1"/>
  <c r="H57" i="2" l="1"/>
  <c r="H58" i="2" l="1"/>
  <c r="H59" i="2" l="1"/>
  <c r="H60" i="2" l="1"/>
  <c r="H61" i="2" l="1"/>
  <c r="H62" i="2" l="1"/>
  <c r="H63" i="2" l="1"/>
  <c r="H64" i="2" l="1"/>
  <c r="H65" i="2" l="1"/>
  <c r="H66" i="2" l="1"/>
  <c r="H67" i="2" l="1"/>
  <c r="H68" i="2" l="1"/>
  <c r="H69" i="2" l="1"/>
  <c r="H70" i="2" l="1"/>
  <c r="H71" i="2" l="1"/>
  <c r="H72" i="2" l="1"/>
  <c r="H73" i="2" l="1"/>
  <c r="H74" i="2" l="1"/>
  <c r="H75" i="2" l="1"/>
  <c r="H76" i="2" l="1"/>
  <c r="H77" i="2" l="1"/>
  <c r="H78" i="2" l="1"/>
  <c r="H79" i="2" l="1"/>
  <c r="H80" i="2" l="1"/>
  <c r="H81" i="2" l="1"/>
  <c r="H82" i="2" l="1"/>
  <c r="H83" i="2" l="1"/>
  <c r="H84" i="2" l="1"/>
  <c r="H85" i="2" l="1"/>
  <c r="H86" i="2" l="1"/>
  <c r="H87" i="2" l="1"/>
  <c r="H88" i="2" l="1"/>
  <c r="H89" i="2" l="1"/>
  <c r="H90" i="2" l="1"/>
  <c r="H91" i="2" l="1"/>
  <c r="H92" i="2" l="1"/>
  <c r="H93" i="2" l="1"/>
  <c r="H94" i="2" l="1"/>
  <c r="H95" i="2" l="1"/>
  <c r="H96" i="2" l="1"/>
  <c r="H97" i="2" l="1"/>
  <c r="H98" i="2" l="1"/>
  <c r="H99" i="2" l="1"/>
  <c r="H100" i="2" l="1"/>
  <c r="H101" i="2" l="1"/>
  <c r="H102" i="2" l="1"/>
  <c r="H103" i="2" l="1"/>
  <c r="H104" i="2" l="1"/>
  <c r="H105" i="2" l="1"/>
  <c r="H106" i="2" l="1"/>
  <c r="H107" i="2" l="1"/>
  <c r="H108" i="2" l="1"/>
  <c r="H109" i="2" l="1"/>
  <c r="H110" i="2" l="1"/>
  <c r="H111" i="2" l="1"/>
  <c r="H112" i="2" l="1"/>
  <c r="H113" i="2" l="1"/>
  <c r="H114" i="2" l="1"/>
  <c r="H115" i="2" l="1"/>
  <c r="H116" i="2" l="1"/>
  <c r="H117" i="2" l="1"/>
  <c r="H118" i="2" l="1"/>
  <c r="H119" i="2" l="1"/>
  <c r="H120" i="2" l="1"/>
  <c r="H121" i="2" l="1"/>
  <c r="H122" i="2" l="1"/>
  <c r="H123" i="2" l="1"/>
  <c r="H124" i="2" l="1"/>
  <c r="H125" i="2" l="1"/>
  <c r="H126" i="2" l="1"/>
  <c r="H127" i="2" l="1"/>
  <c r="H128" i="2" l="1"/>
  <c r="H129" i="2" l="1"/>
  <c r="H130" i="2" l="1"/>
  <c r="H131" i="2" l="1"/>
  <c r="H132" i="2" l="1"/>
  <c r="H133" i="2" l="1"/>
  <c r="H134" i="2" l="1"/>
  <c r="H135" i="2" l="1"/>
  <c r="H136" i="2" l="1"/>
  <c r="H137" i="2" l="1"/>
  <c r="H138" i="2" l="1"/>
  <c r="H139" i="2" l="1"/>
  <c r="H140" i="2" l="1"/>
  <c r="H141" i="2" l="1"/>
  <c r="H142" i="2" l="1"/>
  <c r="H143" i="2" l="1"/>
  <c r="H144" i="2" l="1"/>
  <c r="H145" i="2" l="1"/>
  <c r="H146" i="2" l="1"/>
  <c r="H147" i="2" l="1"/>
  <c r="H148" i="2" l="1"/>
  <c r="H149" i="2" l="1"/>
  <c r="H150" i="2" l="1"/>
  <c r="H151" i="2" l="1"/>
  <c r="H152" i="2" l="1"/>
  <c r="H153" i="2" l="1"/>
  <c r="H154" i="2" l="1"/>
  <c r="H155" i="2" l="1"/>
  <c r="H156" i="2" l="1"/>
  <c r="H157" i="2" l="1"/>
  <c r="H158" i="2" l="1"/>
  <c r="H159" i="2" l="1"/>
  <c r="H160" i="2" l="1"/>
  <c r="H161" i="2" l="1"/>
  <c r="H162" i="2" l="1"/>
  <c r="H163" i="2" l="1"/>
  <c r="H164" i="2" l="1"/>
  <c r="H165" i="2" l="1"/>
  <c r="H166" i="2" l="1"/>
  <c r="H167" i="2" l="1"/>
  <c r="H168" i="2" l="1"/>
  <c r="H169" i="2" l="1"/>
  <c r="H170" i="2" l="1"/>
  <c r="H171" i="2" l="1"/>
  <c r="H172" i="2" l="1"/>
  <c r="H173" i="2" l="1"/>
  <c r="H174" i="2" l="1"/>
  <c r="H175" i="2" l="1"/>
  <c r="H176" i="2" l="1"/>
  <c r="H177" i="2" l="1"/>
  <c r="H178" i="2" l="1"/>
  <c r="H179" i="2" l="1"/>
  <c r="H180" i="2" l="1"/>
  <c r="H181" i="2" l="1"/>
  <c r="H182" i="2" l="1"/>
  <c r="H183" i="2" l="1"/>
  <c r="H184" i="2" l="1"/>
  <c r="H185" i="2" l="1"/>
  <c r="H186" i="2" l="1"/>
  <c r="H187" i="2" l="1"/>
  <c r="H188" i="2" l="1"/>
  <c r="H189" i="2" l="1"/>
  <c r="H190" i="2" l="1"/>
  <c r="H191" i="2" l="1"/>
  <c r="H192" i="2" l="1"/>
  <c r="H193" i="2" l="1"/>
  <c r="H194" i="2" l="1"/>
  <c r="H195" i="2" l="1"/>
  <c r="H196" i="2" l="1"/>
  <c r="H197" i="2" l="1"/>
  <c r="H198" i="2" l="1"/>
  <c r="H199" i="2" l="1"/>
  <c r="H200" i="2" l="1"/>
  <c r="H201" i="2" l="1"/>
  <c r="H202" i="2" l="1"/>
  <c r="H203" i="2" l="1"/>
  <c r="H204" i="2" l="1"/>
  <c r="H205" i="2" l="1"/>
  <c r="H206" i="2" l="1"/>
  <c r="H207" i="2" l="1"/>
  <c r="H208" i="2" l="1"/>
  <c r="H209" i="2" l="1"/>
  <c r="H210" i="2" l="1"/>
  <c r="H211" i="2" l="1"/>
  <c r="H212" i="2" l="1"/>
  <c r="H213" i="2" l="1"/>
  <c r="H214" i="2" l="1"/>
  <c r="H215" i="2" l="1"/>
  <c r="H216" i="2" l="1"/>
  <c r="H217" i="2" l="1"/>
  <c r="H218" i="2" l="1"/>
  <c r="H219" i="2" l="1"/>
  <c r="H220" i="2" l="1"/>
  <c r="H221" i="2" l="1"/>
  <c r="H222" i="2" l="1"/>
  <c r="H223" i="2" l="1"/>
  <c r="H224" i="2" l="1"/>
  <c r="H225" i="2" l="1"/>
  <c r="H226" i="2" l="1"/>
  <c r="H227" i="2" l="1"/>
  <c r="H228" i="2" l="1"/>
  <c r="H229" i="2" l="1"/>
  <c r="H230" i="2" l="1"/>
  <c r="H231" i="2" l="1"/>
  <c r="H232" i="2" l="1"/>
  <c r="H233" i="2" l="1"/>
  <c r="H234" i="2" l="1"/>
  <c r="H235" i="2" l="1"/>
  <c r="H236" i="2" l="1"/>
  <c r="H237" i="2" l="1"/>
  <c r="H238" i="2" l="1"/>
  <c r="H239" i="2" l="1"/>
  <c r="H240" i="2" l="1"/>
  <c r="H241" i="2" l="1"/>
  <c r="H242" i="2" l="1"/>
  <c r="H243" i="2" l="1"/>
  <c r="H244" i="2" l="1"/>
  <c r="H245" i="2" l="1"/>
  <c r="H246" i="2" l="1"/>
  <c r="H247" i="2" l="1"/>
  <c r="H248" i="2" l="1"/>
  <c r="H249" i="2" l="1"/>
  <c r="H250" i="2" l="1"/>
  <c r="H251" i="2" l="1"/>
  <c r="H252" i="2" l="1"/>
  <c r="G254" i="2" l="1"/>
  <c r="H253" i="2"/>
  <c r="G255" i="2" l="1"/>
  <c r="H254" i="2"/>
  <c r="G256" i="2" l="1"/>
  <c r="H255" i="2"/>
  <c r="G257" i="2" l="1"/>
  <c r="H256" i="2"/>
  <c r="H257" i="2" l="1"/>
  <c r="G258" i="2"/>
  <c r="H258" i="2" l="1"/>
  <c r="G259" i="2"/>
  <c r="G260" i="2" l="1"/>
  <c r="H259" i="2"/>
  <c r="G261" i="2" l="1"/>
  <c r="H260" i="2"/>
  <c r="G262" i="2" l="1"/>
  <c r="H261" i="2"/>
  <c r="G263" i="2" l="1"/>
  <c r="H262" i="2"/>
  <c r="G264" i="2" l="1"/>
  <c r="H263" i="2"/>
  <c r="H264" i="2" l="1"/>
  <c r="G265" i="2"/>
  <c r="G266" i="2" l="1"/>
  <c r="H265" i="2"/>
  <c r="G267" i="2" l="1"/>
  <c r="H266" i="2"/>
  <c r="H267" i="2" l="1"/>
  <c r="G268" i="2"/>
  <c r="H268" i="2" l="1"/>
  <c r="G269" i="2"/>
  <c r="G270" i="2" l="1"/>
  <c r="H269" i="2"/>
  <c r="G271" i="2" l="1"/>
  <c r="H270" i="2"/>
  <c r="G272" i="2" l="1"/>
  <c r="H271" i="2"/>
  <c r="G273" i="2" l="1"/>
  <c r="H272" i="2"/>
  <c r="H273" i="2" l="1"/>
  <c r="G274" i="2"/>
  <c r="H274" i="2" l="1"/>
  <c r="G275" i="2"/>
  <c r="G276" i="2" l="1"/>
  <c r="H275" i="2"/>
  <c r="G277" i="2" l="1"/>
  <c r="H276" i="2"/>
  <c r="H277" i="2" l="1"/>
  <c r="G278" i="2"/>
  <c r="H278" i="2" l="1"/>
  <c r="G279" i="2"/>
  <c r="G280" i="2" l="1"/>
  <c r="H279" i="2"/>
  <c r="G281" i="2" l="1"/>
  <c r="H280" i="2"/>
  <c r="G282" i="2" l="1"/>
  <c r="H281" i="2"/>
  <c r="H282" i="2" l="1"/>
  <c r="G283" i="2"/>
  <c r="G284" i="2" l="1"/>
  <c r="H283" i="2"/>
  <c r="G285" i="2" l="1"/>
  <c r="H284" i="2"/>
  <c r="G286" i="2" l="1"/>
  <c r="H285" i="2"/>
  <c r="G287" i="2" l="1"/>
  <c r="H286" i="2"/>
  <c r="G288" i="2" l="1"/>
  <c r="H287" i="2"/>
  <c r="G289" i="2" l="1"/>
  <c r="H288" i="2"/>
  <c r="H289" i="2" l="1"/>
  <c r="G290" i="2"/>
  <c r="H290" i="2" l="1"/>
  <c r="G291" i="2"/>
  <c r="G292" i="2" l="1"/>
  <c r="H291" i="2"/>
  <c r="H292" i="2" l="1"/>
  <c r="G293" i="2"/>
  <c r="H293" i="2" l="1"/>
  <c r="G294" i="2"/>
  <c r="H294" i="2" l="1"/>
  <c r="G295" i="2"/>
  <c r="H295" i="2" l="1"/>
  <c r="G296" i="2"/>
  <c r="G297" i="2" l="1"/>
  <c r="H296" i="2"/>
  <c r="H297" i="2" l="1"/>
  <c r="G298" i="2"/>
  <c r="H298" i="2" l="1"/>
  <c r="G299" i="2"/>
  <c r="G300" i="2" l="1"/>
  <c r="H299" i="2"/>
  <c r="H300" i="2" l="1"/>
  <c r="G301" i="2"/>
  <c r="H301" i="2" l="1"/>
  <c r="G302" i="2"/>
  <c r="G303" i="2" l="1"/>
  <c r="H302" i="2"/>
  <c r="G304" i="2" l="1"/>
  <c r="H303" i="2"/>
  <c r="G305" i="2" l="1"/>
  <c r="H304" i="2"/>
  <c r="G306" i="2" l="1"/>
  <c r="H305" i="2"/>
  <c r="H306" i="2" l="1"/>
  <c r="G307" i="2"/>
  <c r="G308" i="2" l="1"/>
  <c r="H307" i="2"/>
  <c r="H308" i="2" l="1"/>
  <c r="G309" i="2"/>
  <c r="G310" i="2" l="1"/>
  <c r="H309" i="2"/>
  <c r="G311" i="2" l="1"/>
  <c r="H310" i="2"/>
  <c r="H311" i="2" l="1"/>
  <c r="G312" i="2"/>
  <c r="G313" i="2" l="1"/>
  <c r="H312" i="2"/>
  <c r="H313" i="2" l="1"/>
  <c r="G314" i="2"/>
  <c r="G315" i="2" l="1"/>
  <c r="H314" i="2"/>
  <c r="G316" i="2" l="1"/>
  <c r="H315" i="2"/>
  <c r="H316" i="2" l="1"/>
  <c r="G317" i="2"/>
  <c r="G318" i="2" l="1"/>
  <c r="H317" i="2"/>
  <c r="G319" i="2" l="1"/>
  <c r="H318" i="2"/>
  <c r="G320" i="2" l="1"/>
  <c r="H319" i="2"/>
  <c r="G321" i="2" l="1"/>
  <c r="H320" i="2"/>
  <c r="H321" i="2" l="1"/>
  <c r="G322" i="2"/>
  <c r="G323" i="2" l="1"/>
  <c r="H322" i="2"/>
  <c r="G324" i="2" l="1"/>
  <c r="H323" i="2"/>
  <c r="G325" i="2" l="1"/>
  <c r="H324" i="2"/>
  <c r="G326" i="2" l="1"/>
  <c r="H325" i="2"/>
  <c r="G327" i="2" l="1"/>
  <c r="H326" i="2"/>
  <c r="H327" i="2" l="1"/>
  <c r="G328" i="2"/>
  <c r="H328" i="2" l="1"/>
  <c r="G329" i="2"/>
  <c r="G330" i="2" l="1"/>
  <c r="H329" i="2"/>
  <c r="G331" i="2" l="1"/>
  <c r="H330" i="2"/>
  <c r="G332" i="2" l="1"/>
  <c r="H331" i="2"/>
  <c r="G333" i="2" l="1"/>
  <c r="H332" i="2"/>
  <c r="H333" i="2" l="1"/>
  <c r="G334" i="2"/>
  <c r="G335" i="2" l="1"/>
  <c r="H334" i="2"/>
  <c r="H335" i="2" l="1"/>
  <c r="G336" i="2"/>
  <c r="H336" i="2" l="1"/>
  <c r="G337" i="2"/>
  <c r="G338" i="2" l="1"/>
  <c r="H337" i="2"/>
  <c r="G339" i="2" l="1"/>
  <c r="H338" i="2"/>
  <c r="G340" i="2" l="1"/>
  <c r="H339" i="2"/>
  <c r="G341" i="2" l="1"/>
  <c r="H340" i="2"/>
  <c r="H341" i="2" l="1"/>
  <c r="G342" i="2"/>
  <c r="H342" i="2" l="1"/>
  <c r="G343" i="2"/>
  <c r="G344" i="2" l="1"/>
  <c r="H343" i="2"/>
  <c r="G345" i="2" l="1"/>
  <c r="H344" i="2"/>
  <c r="G346" i="2" l="1"/>
  <c r="H345" i="2"/>
  <c r="G347" i="2" l="1"/>
  <c r="H346" i="2"/>
  <c r="G348" i="2" l="1"/>
  <c r="H347" i="2"/>
  <c r="G349" i="2" l="1"/>
  <c r="H348" i="2"/>
  <c r="G350" i="2" l="1"/>
  <c r="H349" i="2"/>
  <c r="G351" i="2" l="1"/>
  <c r="H350" i="2"/>
  <c r="H351" i="2" l="1"/>
  <c r="G352" i="2"/>
  <c r="G353" i="2" l="1"/>
  <c r="H352" i="2"/>
  <c r="G354" i="2" l="1"/>
  <c r="H353" i="2"/>
  <c r="G355" i="2" l="1"/>
  <c r="H354" i="2"/>
  <c r="H355" i="2" l="1"/>
  <c r="G356" i="2"/>
  <c r="G357" i="2" l="1"/>
  <c r="H356" i="2"/>
  <c r="G358" i="2" l="1"/>
  <c r="H357" i="2"/>
  <c r="H358" i="2" l="1"/>
  <c r="G359" i="2"/>
  <c r="H359" i="2" l="1"/>
  <c r="G360" i="2"/>
  <c r="G361" i="2" l="1"/>
  <c r="H360" i="2"/>
  <c r="G362" i="2" l="1"/>
  <c r="H361" i="2"/>
  <c r="G363" i="2" l="1"/>
  <c r="H362" i="2"/>
  <c r="G364" i="2" l="1"/>
  <c r="H363" i="2"/>
  <c r="G365" i="2" l="1"/>
  <c r="H364" i="2"/>
  <c r="G366" i="2" l="1"/>
  <c r="H366" i="2" s="1"/>
  <c r="H365" i="2"/>
</calcChain>
</file>

<file path=xl/sharedStrings.xml><?xml version="1.0" encoding="utf-8"?>
<sst xmlns="http://schemas.openxmlformats.org/spreadsheetml/2006/main" count="710" uniqueCount="53">
  <si>
    <t>Year</t>
  </si>
  <si>
    <t>Start Month</t>
  </si>
  <si>
    <t>日付</t>
    <rPh sb="0" eb="1">
      <t>ｷｭｳｼﾞﾂ</t>
    </rPh>
    <phoneticPr fontId="16" type="noConversion"/>
  </si>
  <si>
    <t>祝日</t>
    <rPh sb="0" eb="2">
      <t>しゅくじつ</t>
    </rPh>
    <phoneticPr fontId="16" type="noConversion"/>
  </si>
  <si>
    <t>元日</t>
  </si>
  <si>
    <t>年始</t>
    <rPh sb="0" eb="2">
      <t>ネンシ</t>
    </rPh>
    <phoneticPr fontId="2"/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</si>
  <si>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</si>
  <si>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</si>
  <si>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</si>
  <si>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</si>
  <si>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</si>
  <si>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</si>
  <si>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</si>
  <si>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振替休日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</si>
  <si>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</si>
  <si>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</si>
  <si>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</si>
  <si>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</si>
  <si>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</si>
  <si>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</si>
  <si>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</si>
  <si>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</si>
  <si>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年末</t>
    <rPh sb="0" eb="2">
      <t>ネンマツ</t>
    </rPh>
    <phoneticPr fontId="2"/>
  </si>
  <si>
    <t>該当する年度</t>
    <rPh sb="0" eb="2">
      <t>ガイトウ</t>
    </rPh>
    <rPh sb="4" eb="6">
      <t>ネンド</t>
    </rPh>
    <phoneticPr fontId="2"/>
  </si>
  <si>
    <t>順番</t>
    <rPh sb="0" eb="2">
      <t>ジュンバン</t>
    </rPh>
    <phoneticPr fontId="2"/>
  </si>
  <si>
    <t>日付</t>
    <rPh sb="0" eb="2">
      <t>ヒヅケ</t>
    </rPh>
    <phoneticPr fontId="2"/>
  </si>
  <si>
    <t>曜日</t>
    <rPh sb="0" eb="2">
      <t>ヨウビ</t>
    </rPh>
    <phoneticPr fontId="2"/>
  </si>
  <si>
    <t>日程1</t>
    <rPh sb="0" eb="2">
      <t>ニッテイ</t>
    </rPh>
    <phoneticPr fontId="2"/>
  </si>
  <si>
    <t>日程2</t>
    <rPh sb="0" eb="2">
      <t>ニッテイ</t>
    </rPh>
    <phoneticPr fontId="2"/>
  </si>
  <si>
    <t>日程3</t>
    <rPh sb="0" eb="2">
      <t>ニッテイ</t>
    </rPh>
    <phoneticPr fontId="2"/>
  </si>
  <si>
    <t>日程4</t>
    <rPh sb="0" eb="2">
      <t>ニッテイ</t>
    </rPh>
    <phoneticPr fontId="2"/>
  </si>
  <si>
    <t>日程5</t>
    <rPh sb="0" eb="2">
      <t>ニッテイ</t>
    </rPh>
    <phoneticPr fontId="2"/>
  </si>
  <si>
    <t>休み</t>
  </si>
  <si>
    <t>遊ぼう</t>
  </si>
  <si>
    <t>プロジェクト</t>
  </si>
  <si>
    <t>会議</t>
  </si>
  <si>
    <t>約束</t>
  </si>
  <si>
    <t>眠い</t>
  </si>
  <si>
    <t>また休み</t>
  </si>
  <si>
    <t>また遊ぼう</t>
  </si>
  <si>
    <t>洗濯</t>
  </si>
  <si>
    <r>
      <t>[メモ</t>
    </r>
    <r>
      <rPr>
        <b/>
        <sz val="18"/>
        <color theme="1" tint="0.34998626667073579"/>
        <rFont val="Yu Gothic"/>
        <family val="2"/>
        <charset val="128"/>
      </rPr>
      <t>]</t>
    </r>
    <phoneticPr fontId="17" type="noConversion"/>
  </si>
  <si>
    <t>プロジェクト
プロジェクト</t>
  </si>
  <si>
    <t>眠い
眠い
眠い
眠い</t>
  </si>
  <si>
    <t>会議
会議
会議</t>
  </si>
  <si>
    <t>休み
遊ぼう
また休み
また遊ぼう
洗濯</t>
  </si>
  <si>
    <t>会議
プロジェクト
会議</t>
  </si>
  <si>
    <t>会議
プロジェクト
会議
眠い</t>
  </si>
  <si>
    <t>会議
会議</t>
  </si>
  <si>
    <t>a(1)</t>
    <phoneticPr fontId="2"/>
  </si>
  <si>
    <t>a(4)</t>
    <phoneticPr fontId="2"/>
  </si>
  <si>
    <t>夏休み</t>
    <rPh sb="0" eb="2">
      <t>ナツヤス</t>
    </rPh>
    <phoneticPr fontId="2"/>
  </si>
  <si>
    <t>本日</t>
    <rPh sb="0" eb="2">
      <t>ホンジツ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</si>
</sst>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年&quot;\ m&quot;月&quot;"/>
    <numFmt numFmtId="177" formatCode="d"/>
    <numFmt numFmtId="178" formatCode="dddd"/>
    <numFmt numFmtId="179" formatCode="aaaa"/>
  </numFmts>
  <fonts count="42"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  <font>
      <b/>
      <sz val="36"/>
      <color theme="7" tint="-0.499984740745262"/>
      <name val="맑은 고딕"/>
      <family val="3"/>
      <charset val="129"/>
    </font>
    <font>
      <b/>
      <sz val="36"/>
      <color theme="7" tint="-0.499984740745262"/>
      <name val="Meiryo UI"/>
      <family val="3"/>
      <charset val="128"/>
    </font>
    <font>
      <b/>
      <sz val="12"/>
      <color theme="4" tint="-0.249977111117893"/>
      <name val="游ゴシック"/>
      <family val="2"/>
      <scheme val="minor"/>
    </font>
    <font>
      <b/>
      <sz val="9"/>
      <color theme="1"/>
      <name val="游ゴシック"/>
      <family val="2"/>
      <scheme val="minor"/>
    </font>
    <font>
      <b/>
      <sz val="9"/>
      <color theme="4"/>
      <name val="游ゴシック"/>
      <family val="2"/>
      <scheme val="minor"/>
    </font>
    <font>
      <sz val="9"/>
      <name val="游ゴシック"/>
      <family val="1"/>
      <scheme val="minor"/>
    </font>
    <font>
      <sz val="8"/>
      <name val="Arial"/>
      <family val="2"/>
    </font>
    <font>
      <b/>
      <sz val="24"/>
      <color theme="7" tint="-0.499984740745262"/>
      <name val="맑은 고딕"/>
      <family val="3"/>
      <charset val="129"/>
    </font>
    <font>
      <b/>
      <sz val="24"/>
      <color theme="7" tint="-0.499984740745262"/>
      <name val="Meiryo UI"/>
      <family val="3"/>
      <charset val="128"/>
    </font>
    <font>
      <b/>
      <sz val="16"/>
      <color rgb="FFFF0000"/>
      <name val="HY견고딕"/>
      <family val="1"/>
      <charset val="129"/>
    </font>
    <font>
      <b/>
      <sz val="16"/>
      <color theme="0"/>
      <name val="HY견고딕"/>
      <family val="1"/>
      <charset val="129"/>
    </font>
    <font>
      <b/>
      <sz val="16"/>
      <color rgb="FFFFFF00"/>
      <name val="HY견고딕"/>
      <family val="1"/>
      <charset val="129"/>
    </font>
    <font>
      <b/>
      <sz val="11"/>
      <color theme="1"/>
      <name val="游ゴシック"/>
      <scheme val="minor"/>
    </font>
    <font>
      <sz val="11"/>
      <color theme="1"/>
      <name val="游ゴシック"/>
      <family val="3"/>
      <charset val="128"/>
      <scheme val="minor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</font>
    <font>
      <b/>
      <sz val="11"/>
      <color theme="1"/>
      <name val="游ゴシック"/>
      <family val="2"/>
      <charset val="128"/>
      <scheme val="minor"/>
    </font>
    <font>
      <b/>
      <sz val="11"/>
      <color theme="1"/>
      <name val="Yu Gothic"/>
      <family val="2"/>
      <charset val="128"/>
    </font>
    <font>
      <sz val="11"/>
      <color theme="1"/>
      <name val="游ゴシック"/>
      <family val="2"/>
      <charset val="129"/>
    </font>
    <font>
      <b/>
      <sz val="16"/>
      <color theme="0"/>
      <name val="游ゴシック"/>
      <family val="2"/>
      <scheme val="minor"/>
    </font>
    <font>
      <b/>
      <sz val="16"/>
      <name val="游ゴシック"/>
      <family val="2"/>
      <scheme val="minor"/>
    </font>
    <font>
      <b/>
      <sz val="18"/>
      <name val="游ゴシック"/>
      <family val="2"/>
      <scheme val="minor"/>
    </font>
    <font>
      <sz val="18"/>
      <color rgb="FFFF0000"/>
      <name val="游ゴシック"/>
      <family val="2"/>
      <scheme val="minor"/>
    </font>
    <font>
      <b/>
      <sz val="18"/>
      <color rgb="FFFF0000"/>
      <name val="游ゴシック"/>
      <family val="2"/>
      <scheme val="minor"/>
    </font>
    <font>
      <b/>
      <sz val="18"/>
      <name val="游ゴシック"/>
      <family val="3"/>
      <charset val="129"/>
      <scheme val="minor"/>
    </font>
    <font>
      <b/>
      <sz val="18"/>
      <color rgb="FFFF0000"/>
      <name val="游ゴシック"/>
      <family val="3"/>
      <charset val="129"/>
      <scheme val="minor"/>
    </font>
    <font>
      <b/>
      <sz val="18"/>
      <color theme="1"/>
      <name val="游ゴシック"/>
      <family val="3"/>
      <charset val="129"/>
      <scheme val="minor"/>
    </font>
    <font>
      <b/>
      <sz val="18"/>
      <color theme="1" tint="0.34998626667073579"/>
      <name val="游ゴシック"/>
      <family val="3"/>
      <charset val="129"/>
      <scheme val="minor"/>
    </font>
    <font>
      <b/>
      <sz val="18"/>
      <color theme="1" tint="0.34998626667073579"/>
      <name val="Yu Gothic"/>
      <family val="2"/>
      <charset val="128"/>
    </font>
    <font>
      <sz val="18"/>
      <name val="游ゴシック"/>
      <family val="2"/>
      <scheme val="minor"/>
    </font>
    <font>
      <sz val="18"/>
      <color theme="1" tint="0.34998626667073579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b/>
      <sz val="11"/>
      <color theme="4"/>
      <name val="游ゴシック"/>
      <family val="2"/>
      <scheme val="minor"/>
    </font>
    <font>
      <sz val="11"/>
      <name val="Arial"/>
      <family val="2"/>
    </font>
    <font>
      <b/>
      <sz val="11"/>
      <color rgb="FFFF0000"/>
      <name val="游ゴシック"/>
      <scheme val="minor"/>
    </font>
    <font>
      <sz val="11"/>
      <color rgb="FFFF0000"/>
      <name val="游ゴシック"/>
      <scheme val="minor"/>
    </font>
    <font>
      <sz val="11"/>
      <color theme="1"/>
      <name val="游ゴシック"/>
      <scheme val="minor"/>
    </font>
    <font>
      <sz val="11"/>
      <color theme="4"/>
      <name val="游ゴシック"/>
      <scheme val="minor"/>
    </font>
    <font>
      <b/>
      <sz val="9"/>
      <color rgb="FFFF0000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8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5" fillId="3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6" fillId="0" borderId="0" xfId="0" applyFont="1" applyAlignment="1">
      <alignment horizontal="center" shrinkToFit="1"/>
    </xf>
    <xf numFmtId="0" fontId="7" fillId="0" borderId="0" xfId="0" applyFont="1" applyAlignment="1">
      <alignment horizontal="center" shrinkToFit="1"/>
    </xf>
    <xf numFmtId="177" fontId="8" fillId="0" borderId="0" xfId="0" applyNumberFormat="1" applyFont="1" applyAlignment="1">
      <alignment horizontal="center" vertical="center" shrinkToFit="1"/>
    </xf>
    <xf numFmtId="0" fontId="9" fillId="0" borderId="0" xfId="0" applyFont="1" applyAlignment="1"/>
    <xf numFmtId="0" fontId="15" fillId="0" borderId="0" xfId="0" applyFont="1">
      <alignment vertical="center"/>
    </xf>
    <xf numFmtId="179" fontId="0" fillId="0" borderId="0" xfId="0" applyNumberFormat="1">
      <alignment vertical="center"/>
    </xf>
    <xf numFmtId="0" fontId="18" fillId="0" borderId="0" xfId="0" applyFont="1">
      <alignment vertical="center"/>
    </xf>
    <xf numFmtId="14" fontId="18" fillId="0" borderId="0" xfId="0" quotePrefix="1" applyNumberFormat="1" applyFont="1">
      <alignment vertical="center"/>
    </xf>
    <xf numFmtId="0" fontId="18" fillId="0" borderId="0" xfId="0" quotePrefix="1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14" fontId="21" fillId="0" borderId="0" xfId="0" applyNumberFormat="1" applyFont="1">
      <alignment vertical="center"/>
    </xf>
    <xf numFmtId="177" fontId="24" fillId="0" borderId="23" xfId="0" applyNumberFormat="1" applyFont="1" applyFill="1" applyBorder="1" applyAlignment="1">
      <alignment horizontal="center" vertical="center" shrinkToFit="1"/>
    </xf>
    <xf numFmtId="0" fontId="25" fillId="0" borderId="24" xfId="0" applyFont="1" applyFill="1" applyBorder="1" applyAlignment="1">
      <alignment horizontal="left" vertical="center" shrinkToFit="1"/>
    </xf>
    <xf numFmtId="177" fontId="24" fillId="0" borderId="2" xfId="0" applyNumberFormat="1" applyFont="1" applyFill="1" applyBorder="1" applyAlignment="1">
      <alignment horizontal="center" vertical="center" shrinkToFit="1"/>
    </xf>
    <xf numFmtId="0" fontId="26" fillId="0" borderId="3" xfId="0" applyFont="1" applyFill="1" applyBorder="1" applyAlignment="1">
      <alignment horizontal="left" vertical="center" shrinkToFit="1"/>
    </xf>
    <xf numFmtId="0" fontId="26" fillId="0" borderId="0" xfId="0" applyFont="1" applyFill="1" applyAlignment="1">
      <alignment horizontal="left" vertical="center" shrinkToFit="1"/>
    </xf>
    <xf numFmtId="177" fontId="24" fillId="0" borderId="4" xfId="0" applyNumberFormat="1" applyFont="1" applyFill="1" applyBorder="1" applyAlignment="1">
      <alignment horizontal="center" vertical="center" shrinkToFit="1"/>
    </xf>
    <xf numFmtId="0" fontId="26" fillId="0" borderId="5" xfId="0" applyFont="1" applyBorder="1" applyAlignment="1">
      <alignment horizontal="left" vertical="center" shrinkToFit="1"/>
    </xf>
    <xf numFmtId="177" fontId="24" fillId="0" borderId="25" xfId="0" applyNumberFormat="1" applyFont="1" applyFill="1" applyBorder="1" applyAlignment="1">
      <alignment vertical="top" shrinkToFit="1"/>
    </xf>
    <xf numFmtId="177" fontId="27" fillId="0" borderId="26" xfId="0" applyNumberFormat="1" applyFont="1" applyFill="1" applyBorder="1" applyAlignment="1">
      <alignment vertical="top" wrapText="1" shrinkToFit="1"/>
    </xf>
    <xf numFmtId="177" fontId="24" fillId="0" borderId="2" xfId="0" applyNumberFormat="1" applyFont="1" applyFill="1" applyBorder="1" applyAlignment="1">
      <alignment vertical="top" shrinkToFit="1"/>
    </xf>
    <xf numFmtId="177" fontId="24" fillId="0" borderId="3" xfId="0" applyNumberFormat="1" applyFont="1" applyFill="1" applyBorder="1" applyAlignment="1">
      <alignment vertical="top" wrapText="1" shrinkToFit="1"/>
    </xf>
    <xf numFmtId="177" fontId="24" fillId="0" borderId="2" xfId="0" applyNumberFormat="1" applyFont="1" applyFill="1" applyBorder="1" applyAlignment="1">
      <alignment vertical="top" wrapText="1" shrinkToFit="1"/>
    </xf>
    <xf numFmtId="177" fontId="24" fillId="0" borderId="0" xfId="0" applyNumberFormat="1" applyFont="1" applyFill="1" applyAlignment="1">
      <alignment vertical="top" wrapText="1" shrinkToFit="1"/>
    </xf>
    <xf numFmtId="177" fontId="24" fillId="0" borderId="4" xfId="0" applyNumberFormat="1" applyFont="1" applyFill="1" applyBorder="1" applyAlignment="1">
      <alignment vertical="top" wrapText="1" shrinkToFit="1"/>
    </xf>
    <xf numFmtId="177" fontId="24" fillId="0" borderId="5" xfId="0" applyNumberFormat="1" applyFont="1" applyBorder="1" applyAlignment="1">
      <alignment vertical="top" wrapText="1" shrinkToFit="1"/>
    </xf>
    <xf numFmtId="177" fontId="24" fillId="0" borderId="17" xfId="0" applyNumberFormat="1" applyFont="1" applyFill="1" applyBorder="1" applyAlignment="1">
      <alignment horizontal="center" vertical="center" shrinkToFit="1"/>
    </xf>
    <xf numFmtId="0" fontId="28" fillId="0" borderId="6" xfId="0" applyFont="1" applyFill="1" applyBorder="1" applyAlignment="1">
      <alignment horizontal="left" vertical="center" shrinkToFit="1"/>
    </xf>
    <xf numFmtId="177" fontId="24" fillId="0" borderId="7" xfId="0" applyNumberFormat="1" applyFont="1" applyFill="1" applyBorder="1" applyAlignment="1">
      <alignment horizontal="center" vertical="center" shrinkToFit="1"/>
    </xf>
    <xf numFmtId="0" fontId="28" fillId="0" borderId="8" xfId="0" applyFont="1" applyFill="1" applyBorder="1" applyAlignment="1">
      <alignment horizontal="left" vertical="center" shrinkToFit="1"/>
    </xf>
    <xf numFmtId="177" fontId="24" fillId="0" borderId="9" xfId="0" applyNumberFormat="1" applyFont="1" applyFill="1" applyBorder="1" applyAlignment="1">
      <alignment horizontal="center" vertical="center" shrinkToFit="1"/>
    </xf>
    <xf numFmtId="0" fontId="26" fillId="0" borderId="10" xfId="0" applyFont="1" applyBorder="1" applyAlignment="1">
      <alignment horizontal="left" vertical="center" shrinkToFit="1"/>
    </xf>
    <xf numFmtId="177" fontId="24" fillId="0" borderId="16" xfId="0" applyNumberFormat="1" applyFont="1" applyFill="1" applyBorder="1" applyAlignment="1">
      <alignment vertical="top" shrinkToFit="1"/>
    </xf>
    <xf numFmtId="177" fontId="29" fillId="0" borderId="3" xfId="0" applyNumberFormat="1" applyFont="1" applyFill="1" applyBorder="1" applyAlignment="1">
      <alignment vertical="top" wrapText="1" shrinkToFit="1"/>
    </xf>
    <xf numFmtId="177" fontId="24" fillId="0" borderId="16" xfId="0" applyNumberFormat="1" applyFont="1" applyFill="1" applyBorder="1" applyAlignment="1">
      <alignment horizontal="center" vertical="top" shrinkToFit="1"/>
    </xf>
    <xf numFmtId="0" fontId="29" fillId="0" borderId="0" xfId="0" applyFont="1" applyFill="1" applyAlignment="1">
      <alignment horizontal="left" vertical="top" wrapText="1" shrinkToFit="1"/>
    </xf>
    <xf numFmtId="0" fontId="30" fillId="0" borderId="7" xfId="0" applyFont="1" applyFill="1" applyBorder="1" applyAlignment="1">
      <alignment horizontal="left" vertical="center" indent="1"/>
    </xf>
    <xf numFmtId="0" fontId="32" fillId="0" borderId="6" xfId="0" applyFont="1" applyFill="1" applyBorder="1" applyAlignment="1"/>
    <xf numFmtId="0" fontId="32" fillId="0" borderId="11" xfId="0" applyFont="1" applyFill="1" applyBorder="1" applyAlignment="1"/>
    <xf numFmtId="0" fontId="32" fillId="0" borderId="10" xfId="0" applyFont="1" applyBorder="1" applyAlignment="1"/>
    <xf numFmtId="177" fontId="24" fillId="0" borderId="18" xfId="0" applyNumberFormat="1" applyFont="1" applyBorder="1" applyAlignment="1">
      <alignment vertical="top" shrinkToFit="1"/>
    </xf>
    <xf numFmtId="177" fontId="29" fillId="0" borderId="12" xfId="0" applyNumberFormat="1" applyFont="1" applyBorder="1" applyAlignment="1">
      <alignment vertical="top" wrapText="1" shrinkToFit="1"/>
    </xf>
    <xf numFmtId="177" fontId="24" fillId="0" borderId="13" xfId="0" applyNumberFormat="1" applyFont="1" applyBorder="1" applyAlignment="1">
      <alignment vertical="top" shrinkToFit="1"/>
    </xf>
    <xf numFmtId="177" fontId="24" fillId="0" borderId="12" xfId="0" applyNumberFormat="1" applyFont="1" applyBorder="1" applyAlignment="1">
      <alignment vertical="top" wrapText="1" shrinkToFit="1"/>
    </xf>
    <xf numFmtId="0" fontId="33" fillId="0" borderId="13" xfId="0" applyFont="1" applyBorder="1" applyAlignment="1">
      <alignment horizontal="left" vertical="center" indent="1"/>
    </xf>
    <xf numFmtId="0" fontId="32" fillId="0" borderId="14" xfId="0" applyFont="1" applyBorder="1" applyAlignment="1"/>
    <xf numFmtId="0" fontId="32" fillId="0" borderId="15" xfId="0" applyFont="1" applyBorder="1" applyAlignment="1"/>
    <xf numFmtId="0" fontId="34" fillId="0" borderId="0" xfId="0" applyFont="1" applyAlignment="1">
      <alignment horizontal="center" shrinkToFit="1"/>
    </xf>
    <xf numFmtId="0" fontId="35" fillId="0" borderId="0" xfId="0" applyFont="1" applyAlignment="1">
      <alignment horizontal="center" shrinkToFit="1"/>
    </xf>
    <xf numFmtId="0" fontId="36" fillId="0" borderId="0" xfId="0" applyFont="1" applyAlignment="1"/>
    <xf numFmtId="0" fontId="0" fillId="0" borderId="0" xfId="0" applyFont="1">
      <alignment vertical="center"/>
    </xf>
    <xf numFmtId="0" fontId="37" fillId="0" borderId="0" xfId="0" applyFont="1" applyAlignment="1">
      <alignment horizontal="center" shrinkToFit="1"/>
    </xf>
    <xf numFmtId="177" fontId="38" fillId="0" borderId="0" xfId="0" applyNumberFormat="1" applyFont="1" applyAlignment="1">
      <alignment horizontal="center" vertical="center" shrinkToFit="1"/>
    </xf>
    <xf numFmtId="177" fontId="39" fillId="0" borderId="0" xfId="0" applyNumberFormat="1" applyFont="1" applyAlignment="1">
      <alignment horizontal="center" vertical="center" shrinkToFit="1"/>
    </xf>
    <xf numFmtId="177" fontId="40" fillId="0" borderId="0" xfId="0" applyNumberFormat="1" applyFont="1" applyAlignment="1">
      <alignment horizontal="center" vertical="center" shrinkToFit="1"/>
    </xf>
    <xf numFmtId="177" fontId="26" fillId="0" borderId="17" xfId="0" applyNumberFormat="1" applyFont="1" applyFill="1" applyBorder="1" applyAlignment="1">
      <alignment horizontal="center" vertical="center" shrinkToFit="1"/>
    </xf>
    <xf numFmtId="0" fontId="41" fillId="0" borderId="0" xfId="0" applyFont="1" applyAlignment="1">
      <alignment horizontal="center" shrinkToFit="1"/>
    </xf>
    <xf numFmtId="0" fontId="0" fillId="0" borderId="0" xfId="0" quotePrefix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176" fontId="10" fillId="0" borderId="0" xfId="1" applyNumberFormat="1" applyFont="1" applyFill="1" applyBorder="1" applyAlignment="1">
      <alignment horizontal="center" vertical="center"/>
    </xf>
    <xf numFmtId="176" fontId="11" fillId="0" borderId="0" xfId="1" applyNumberFormat="1" applyFont="1" applyFill="1" applyBorder="1" applyAlignment="1">
      <alignment horizontal="center" vertical="center"/>
    </xf>
    <xf numFmtId="178" fontId="12" fillId="4" borderId="22" xfId="0" applyNumberFormat="1" applyFont="1" applyFill="1" applyBorder="1" applyAlignment="1">
      <alignment horizontal="center" vertical="center" shrinkToFit="1"/>
    </xf>
    <xf numFmtId="178" fontId="12" fillId="4" borderId="21" xfId="0" applyNumberFormat="1" applyFont="1" applyFill="1" applyBorder="1" applyAlignment="1">
      <alignment horizontal="center" vertical="center" shrinkToFit="1"/>
    </xf>
    <xf numFmtId="178" fontId="13" fillId="4" borderId="19" xfId="0" applyNumberFormat="1" applyFont="1" applyFill="1" applyBorder="1" applyAlignment="1">
      <alignment horizontal="center" vertical="center" shrinkToFit="1"/>
    </xf>
    <xf numFmtId="178" fontId="13" fillId="4" borderId="21" xfId="0" applyNumberFormat="1" applyFont="1" applyFill="1" applyBorder="1" applyAlignment="1">
      <alignment horizontal="center" vertical="center" shrinkToFit="1"/>
    </xf>
    <xf numFmtId="178" fontId="14" fillId="4" borderId="19" xfId="0" applyNumberFormat="1" applyFont="1" applyFill="1" applyBorder="1" applyAlignment="1">
      <alignment horizontal="center" vertical="center" shrinkToFit="1"/>
    </xf>
    <xf numFmtId="178" fontId="14" fillId="4" borderId="20" xfId="0" applyNumberFormat="1" applyFont="1" applyFill="1" applyBorder="1" applyAlignment="1">
      <alignment horizontal="center" vertical="center" shrinkToFit="1"/>
    </xf>
    <xf numFmtId="0" fontId="23" fillId="3" borderId="1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176" fontId="3" fillId="0" borderId="0" xfId="1" applyNumberFormat="1" applyFont="1" applyFill="1" applyBorder="1" applyAlignment="1">
      <alignment horizontal="center" vertical="center"/>
    </xf>
    <xf numFmtId="176" fontId="4" fillId="0" borderId="0" xfId="1" applyNumberFormat="1" applyFont="1" applyFill="1" applyBorder="1" applyAlignment="1">
      <alignment horizontal="center" vertical="center"/>
    </xf>
  </cellXfs>
  <cellStyles count="2">
    <cellStyle name="제목" xfId="1" builtinId="15"/>
    <cellStyle name="표준" xfId="0" builtinId="0"/>
  </cellStyles>
  <dxfs count="3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4" tint="-0.24994659260841701"/>
      </font>
    </dxf>
    <dxf>
      <font>
        <color theme="0" tint="-0.34998626667073579"/>
      </font>
    </dxf>
    <dxf>
      <font>
        <color rgb="FFFF0000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rgb="FFFF0000"/>
      </font>
    </dxf>
    <dxf>
      <font>
        <color theme="4" tint="-0.24994659260841701"/>
      </font>
    </dxf>
    <dxf>
      <font>
        <color theme="0" tint="-0.34998626667073579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242455</xdr:colOff>
      <xdr:row>1</xdr:row>
      <xdr:rowOff>46183</xdr:rowOff>
    </xdr:from>
    <xdr:to>
      <xdr:col>13</xdr:col>
      <xdr:colOff>798945</xdr:colOff>
      <xdr:row>5</xdr:row>
      <xdr:rowOff>36946</xdr:rowOff>
    </xdr:to>
    <xdr:pic macro="[0]!Plan_Clear">
      <xdr:nvPicPr>
        <xdr:cNvPr id="8" name="그래픽 7" descr="닫기">
          <a:extLst>
            <a:ext uri="{FF2B5EF4-FFF2-40B4-BE49-F238E27FC236}">
              <a16:creationId xmlns:a16="http://schemas.microsoft.com/office/drawing/2014/main" id="{67662672-6CAE-473B-952F-C5B3D354C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811000" y="50800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332420</xdr:colOff>
      <xdr:row>1</xdr:row>
      <xdr:rowOff>28196</xdr:rowOff>
    </xdr:from>
    <xdr:to>
      <xdr:col>11</xdr:col>
      <xdr:colOff>1246820</xdr:colOff>
      <xdr:row>5</xdr:row>
      <xdr:rowOff>25309</xdr:rowOff>
    </xdr:to>
    <xdr:pic macro="[0]!Construct">
      <xdr:nvPicPr>
        <xdr:cNvPr id="10" name="그래픽 9" descr="확인 표시">
          <a:extLst>
            <a:ext uri="{FF2B5EF4-FFF2-40B4-BE49-F238E27FC236}">
              <a16:creationId xmlns:a16="http://schemas.microsoft.com/office/drawing/2014/main" id="{9DA71733-5449-41C1-9CB8-5B7A3B494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330784" y="490014"/>
          <a:ext cx="914400" cy="920750"/>
        </a:xfrm>
        <a:prstGeom prst="rect">
          <a:avLst/>
        </a:prstGeom>
      </xdr:spPr>
    </xdr:pic>
    <xdr:clientData/>
  </xdr:twoCellAnchor>
  <xdr:twoCellAnchor editAs="oneCell">
    <xdr:from>
      <xdr:col>5</xdr:col>
      <xdr:colOff>877454</xdr:colOff>
      <xdr:row>0</xdr:row>
      <xdr:rowOff>404092</xdr:rowOff>
    </xdr:from>
    <xdr:to>
      <xdr:col>9</xdr:col>
      <xdr:colOff>1024947</xdr:colOff>
      <xdr:row>5</xdr:row>
      <xdr:rowOff>161637</xdr:rowOff>
    </xdr:to>
    <xdr:pic>
      <xdr:nvPicPr>
        <xdr:cNvPr id="4" name="画像 2" descr="春の建物と木" title="ヘッダー春">
          <a:extLst>
            <a:ext uri="{FF2B5EF4-FFF2-40B4-BE49-F238E27FC236}">
              <a16:creationId xmlns:a16="http://schemas.microsoft.com/office/drawing/2014/main" id="{90C083D2-F6A6-4371-889A-A94AF276D6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791363" y="404092"/>
          <a:ext cx="4003675" cy="1143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D99F8-D833-4923-9D31-13C26956F445}">
  <sheetPr codeName="Sheet1"/>
  <dimension ref="A1:AO31"/>
  <sheetViews>
    <sheetView showGridLines="0" tabSelected="1" zoomScale="55" zoomScaleNormal="55" workbookViewId="0">
      <selection activeCell="H11" sqref="H11"/>
    </sheetView>
  </sheetViews>
  <sheetFormatPr defaultRowHeight="18"/>
  <cols>
    <col min="1" max="1" width="4.6640625" customWidth="1"/>
    <col min="2" max="2" width="20.58203125" customWidth="1"/>
    <col min="3" max="3" width="4.6640625" customWidth="1"/>
    <col min="4" max="4" width="20.58203125" customWidth="1"/>
    <col min="5" max="5" width="4.6640625" customWidth="1"/>
    <col min="6" max="6" width="20.58203125" customWidth="1"/>
    <col min="7" max="7" width="4.6640625" customWidth="1"/>
    <col min="8" max="8" width="20.58203125" customWidth="1"/>
    <col min="9" max="9" width="4.6640625" customWidth="1"/>
    <col min="10" max="10" width="20.58203125" customWidth="1"/>
    <col min="11" max="11" width="4.6640625" customWidth="1"/>
    <col min="12" max="12" width="20.58203125" customWidth="1"/>
    <col min="13" max="13" width="4.6640625" customWidth="1"/>
    <col min="14" max="14" width="20.58203125" customWidth="1"/>
    <col min="15" max="15" width="1.08203125" customWidth="1"/>
    <col min="18" max="18" width="13.25" customWidth="1"/>
    <col min="19" max="19" width="11.9140625" bestFit="1" customWidth="1"/>
    <col min="20" max="20" width="1.25" customWidth="1"/>
    <col min="21" max="21" width="1.58203125" customWidth="1"/>
    <col min="22" max="22" width="1.25" customWidth="1"/>
    <col min="23" max="23" width="3.4140625" customWidth="1"/>
    <col min="24" max="29" width="3.58203125" bestFit="1" customWidth="1"/>
    <col min="30" max="30" width="1.58203125" customWidth="1"/>
    <col min="31" max="31" width="3.4140625" customWidth="1"/>
    <col min="32" max="37" width="3.58203125" bestFit="1" customWidth="1"/>
  </cols>
  <sheetData>
    <row r="1" spans="1:41" ht="36">
      <c r="A1" s="83">
        <f>DATE(R3,R5,1)</f>
        <v>44105</v>
      </c>
      <c r="B1" s="84"/>
      <c r="C1" s="84"/>
      <c r="D1" s="84"/>
      <c r="E1" s="84"/>
      <c r="F1" s="84"/>
      <c r="G1" s="84"/>
      <c r="H1" s="84"/>
      <c r="P1" s="7"/>
      <c r="W1" s="73">
        <f>DATE(YEAR(A1),MONTH(A1)-1,1)</f>
        <v>44075</v>
      </c>
      <c r="X1" s="74"/>
      <c r="Y1" s="74"/>
      <c r="Z1" s="74"/>
      <c r="AA1" s="74"/>
      <c r="AB1" s="74"/>
      <c r="AC1" s="74"/>
      <c r="AD1" s="6"/>
      <c r="AE1" s="73">
        <f>DATE(YEAR(A1),MONTH(A1)+1,1)</f>
        <v>44136</v>
      </c>
      <c r="AF1" s="74"/>
      <c r="AG1" s="74"/>
      <c r="AH1" s="74"/>
      <c r="AI1" s="74"/>
      <c r="AJ1" s="74"/>
      <c r="AK1" s="74"/>
    </row>
    <row r="2" spans="1:41">
      <c r="A2" s="84"/>
      <c r="B2" s="84"/>
      <c r="C2" s="84"/>
      <c r="D2" s="84"/>
      <c r="E2" s="84"/>
      <c r="F2" s="84"/>
      <c r="G2" s="84"/>
      <c r="H2" s="84"/>
      <c r="W2" s="55" t="str">
        <f>INDEX({"S";"M";"T";"W";"T";"F";"S"},1+MOD(1+1-2,7))</f>
        <v>S</v>
      </c>
      <c r="X2" s="51" t="str">
        <f>INDEX({"S";"M";"T";"W";"T";"F";"S"},1+MOD(1+2-2,7))</f>
        <v>M</v>
      </c>
      <c r="Y2" s="51" t="str">
        <f>INDEX({"S";"M";"T";"W";"T";"F";"S"},1+MOD(1+3-2,7))</f>
        <v>T</v>
      </c>
      <c r="Z2" s="51" t="str">
        <f>INDEX({"S";"M";"T";"W";"T";"F";"S"},1+MOD(1+4-2,7))</f>
        <v>W</v>
      </c>
      <c r="AA2" s="51" t="str">
        <f>INDEX({"S";"M";"T";"W";"T";"F";"S"},1+MOD(1+5-2,7))</f>
        <v>T</v>
      </c>
      <c r="AB2" s="51" t="str">
        <f>INDEX({"S";"M";"T";"W";"T";"F";"S"},1+MOD(1+6-2,7))</f>
        <v>F</v>
      </c>
      <c r="AC2" s="52" t="str">
        <f>INDEX({"S";"M";"T";"W";"T";"F";"S"},1+MOD(1+7-2,7))</f>
        <v>S</v>
      </c>
      <c r="AD2" s="53"/>
      <c r="AE2" s="55" t="str">
        <f>INDEX({"S";"M";"T";"W";"T";"F";"S"},1+MOD(1+1-2,7))</f>
        <v>S</v>
      </c>
      <c r="AF2" s="51" t="str">
        <f>INDEX({"S";"M";"T";"W";"T";"F";"S"},1+MOD(1+2-2,7))</f>
        <v>M</v>
      </c>
      <c r="AG2" s="51" t="str">
        <f>INDEX({"S";"M";"T";"W";"T";"F";"S"},1+MOD(1+3-2,7))</f>
        <v>T</v>
      </c>
      <c r="AH2" s="51" t="str">
        <f>INDEX({"S";"M";"T";"W";"T";"F";"S"},1+MOD(1+4-2,7))</f>
        <v>W</v>
      </c>
      <c r="AI2" s="51" t="str">
        <f>INDEX({"S";"M";"T";"W";"T";"F";"S"},1+MOD(1+5-2,7))</f>
        <v>T</v>
      </c>
      <c r="AJ2" s="51" t="str">
        <f>INDEX({"S";"M";"T";"W";"T";"F";"S"},1+MOD(1+6-2,7))</f>
        <v>F</v>
      </c>
      <c r="AK2" s="52" t="str">
        <f>INDEX({"S";"M";"T";"W";"T";"F";"S"},1+MOD(1+7-2,7))</f>
        <v>S</v>
      </c>
    </row>
    <row r="3" spans="1:41">
      <c r="A3" s="84"/>
      <c r="B3" s="84"/>
      <c r="C3" s="84"/>
      <c r="D3" s="84"/>
      <c r="E3" s="84"/>
      <c r="F3" s="84"/>
      <c r="G3" s="84"/>
      <c r="H3" s="84"/>
      <c r="P3" s="82" t="s">
        <v>0</v>
      </c>
      <c r="Q3" s="82"/>
      <c r="R3" s="81">
        <v>2020</v>
      </c>
      <c r="W3" s="56"/>
      <c r="X3" s="57"/>
      <c r="Y3" s="57">
        <v>44075</v>
      </c>
      <c r="Z3" s="57">
        <v>44076</v>
      </c>
      <c r="AA3" s="57">
        <v>44077</v>
      </c>
      <c r="AB3" s="57">
        <v>44078</v>
      </c>
      <c r="AC3" s="58">
        <v>44079</v>
      </c>
      <c r="AD3" s="57"/>
      <c r="AE3" s="56"/>
      <c r="AF3" s="57"/>
      <c r="AG3" s="57"/>
      <c r="AH3" s="57"/>
      <c r="AI3" s="57"/>
      <c r="AJ3" s="57"/>
      <c r="AK3" s="58"/>
    </row>
    <row r="4" spans="1:41">
      <c r="A4" s="84"/>
      <c r="B4" s="84"/>
      <c r="C4" s="84"/>
      <c r="D4" s="84"/>
      <c r="E4" s="84"/>
      <c r="F4" s="84"/>
      <c r="G4" s="84"/>
      <c r="H4" s="84"/>
      <c r="P4" s="82"/>
      <c r="Q4" s="82"/>
      <c r="R4" s="81"/>
      <c r="W4" s="56">
        <v>44080</v>
      </c>
      <c r="X4" s="57">
        <v>44081</v>
      </c>
      <c r="Y4" s="57">
        <v>44082</v>
      </c>
      <c r="Z4" s="57">
        <v>44083</v>
      </c>
      <c r="AA4" s="57">
        <v>44084</v>
      </c>
      <c r="AB4" s="57">
        <v>44085</v>
      </c>
      <c r="AC4" s="58">
        <v>44086</v>
      </c>
      <c r="AD4" s="57"/>
      <c r="AE4" s="56">
        <v>44136</v>
      </c>
      <c r="AF4" s="57">
        <v>44137</v>
      </c>
      <c r="AG4" s="57">
        <v>44138</v>
      </c>
      <c r="AH4" s="57">
        <v>44139</v>
      </c>
      <c r="AI4" s="57">
        <v>44140</v>
      </c>
      <c r="AJ4" s="57">
        <v>44141</v>
      </c>
      <c r="AK4" s="58">
        <v>44142</v>
      </c>
    </row>
    <row r="5" spans="1:41">
      <c r="A5" s="84"/>
      <c r="B5" s="84"/>
      <c r="C5" s="84"/>
      <c r="D5" s="84"/>
      <c r="E5" s="84"/>
      <c r="F5" s="84"/>
      <c r="G5" s="84"/>
      <c r="H5" s="84"/>
      <c r="P5" s="82" t="s">
        <v>1</v>
      </c>
      <c r="Q5" s="82"/>
      <c r="R5" s="81">
        <v>10</v>
      </c>
      <c r="W5" s="56">
        <v>44087</v>
      </c>
      <c r="X5" s="57">
        <v>44088</v>
      </c>
      <c r="Y5" s="57">
        <v>44089</v>
      </c>
      <c r="Z5" s="57">
        <v>44090</v>
      </c>
      <c r="AA5" s="57">
        <v>44091</v>
      </c>
      <c r="AB5" s="57">
        <v>44092</v>
      </c>
      <c r="AC5" s="58">
        <v>44093</v>
      </c>
      <c r="AD5" s="57"/>
      <c r="AE5" s="56">
        <v>44143</v>
      </c>
      <c r="AF5" s="57">
        <v>44144</v>
      </c>
      <c r="AG5" s="57">
        <v>44145</v>
      </c>
      <c r="AH5" s="57">
        <v>44146</v>
      </c>
      <c r="AI5" s="57">
        <v>44147</v>
      </c>
      <c r="AJ5" s="57">
        <v>44148</v>
      </c>
      <c r="AK5" s="58">
        <v>44149</v>
      </c>
    </row>
    <row r="6" spans="1:41">
      <c r="A6" s="84"/>
      <c r="B6" s="84"/>
      <c r="C6" s="84"/>
      <c r="D6" s="84"/>
      <c r="E6" s="84"/>
      <c r="F6" s="84"/>
      <c r="G6" s="84"/>
      <c r="H6" s="84"/>
      <c r="P6" s="82"/>
      <c r="Q6" s="82"/>
      <c r="R6" s="81"/>
      <c r="W6" s="56">
        <v>44094</v>
      </c>
      <c r="X6" s="57">
        <v>44095</v>
      </c>
      <c r="Y6" s="57">
        <v>44096</v>
      </c>
      <c r="Z6" s="57">
        <v>44097</v>
      </c>
      <c r="AA6" s="57">
        <v>44098</v>
      </c>
      <c r="AB6" s="57">
        <v>44099</v>
      </c>
      <c r="AC6" s="58">
        <v>44100</v>
      </c>
      <c r="AD6" s="57"/>
      <c r="AE6" s="56">
        <v>44150</v>
      </c>
      <c r="AF6" s="57">
        <v>44151</v>
      </c>
      <c r="AG6" s="57">
        <v>44152</v>
      </c>
      <c r="AH6" s="57">
        <v>44153</v>
      </c>
      <c r="AI6" s="57">
        <v>44154</v>
      </c>
      <c r="AJ6" s="57">
        <v>44155</v>
      </c>
      <c r="AK6" s="58">
        <v>44156</v>
      </c>
    </row>
    <row r="7" spans="1:41">
      <c r="A7" s="84"/>
      <c r="B7" s="84"/>
      <c r="C7" s="84"/>
      <c r="D7" s="84"/>
      <c r="E7" s="84"/>
      <c r="F7" s="84"/>
      <c r="G7" s="84"/>
      <c r="H7" s="84"/>
      <c r="W7" s="56">
        <v>44101</v>
      </c>
      <c r="X7" s="57">
        <v>44102</v>
      </c>
      <c r="Y7" s="57">
        <v>44103</v>
      </c>
      <c r="Z7" s="57">
        <v>44104</v>
      </c>
      <c r="AA7" s="57"/>
      <c r="AB7" s="57"/>
      <c r="AC7" s="58"/>
      <c r="AD7" s="57"/>
      <c r="AE7" s="56">
        <v>44157</v>
      </c>
      <c r="AF7" s="57">
        <v>44158</v>
      </c>
      <c r="AG7" s="57">
        <v>44159</v>
      </c>
      <c r="AH7" s="57">
        <v>44160</v>
      </c>
      <c r="AI7" s="57">
        <v>44161</v>
      </c>
      <c r="AJ7" s="57">
        <v>44162</v>
      </c>
      <c r="AK7" s="58">
        <v>44163</v>
      </c>
    </row>
    <row r="8" spans="1:41" ht="18.5" thickBot="1">
      <c r="W8" s="56"/>
      <c r="X8" s="57"/>
      <c r="Y8" s="57"/>
      <c r="Z8" s="57"/>
      <c r="AA8" s="57"/>
      <c r="AB8" s="57"/>
      <c r="AC8" s="57"/>
      <c r="AD8" s="57"/>
      <c r="AE8" s="56">
        <v>44164</v>
      </c>
      <c r="AF8" s="57">
        <v>44165</v>
      </c>
      <c r="AG8" s="57"/>
      <c r="AH8" s="57"/>
      <c r="AI8" s="57"/>
      <c r="AJ8" s="57"/>
      <c r="AK8" s="57"/>
    </row>
    <row r="9" spans="1:41" ht="21">
      <c r="A9" s="75">
        <f>A10</f>
        <v>44101</v>
      </c>
      <c r="B9" s="76"/>
      <c r="C9" s="77">
        <f>C10</f>
        <v>44102</v>
      </c>
      <c r="D9" s="78"/>
      <c r="E9" s="77">
        <f>E10</f>
        <v>44103</v>
      </c>
      <c r="F9" s="78"/>
      <c r="G9" s="77">
        <f>G10</f>
        <v>44104</v>
      </c>
      <c r="H9" s="78"/>
      <c r="I9" s="77">
        <f>I10</f>
        <v>44105</v>
      </c>
      <c r="J9" s="78"/>
      <c r="K9" s="77">
        <f>K10</f>
        <v>44106</v>
      </c>
      <c r="L9" s="78"/>
      <c r="M9" s="79">
        <f t="shared" ref="M9" si="0">M10</f>
        <v>44107</v>
      </c>
      <c r="N9" s="80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</row>
    <row r="10" spans="1:41" ht="29">
      <c r="A10" s="15">
        <v>44101</v>
      </c>
      <c r="B10" s="16" t="str">
        <f ca="1">IFERROR(VLOOKUP(A10,祝日,2,FALSE),"")</f>
        <v/>
      </c>
      <c r="C10" s="17">
        <v>44102</v>
      </c>
      <c r="D10" s="18" t="str">
        <f ca="1">IFERROR(VLOOKUP(C10,祝日,2,FALSE),"")</f>
        <v/>
      </c>
      <c r="E10" s="17">
        <v>44103</v>
      </c>
      <c r="F10" s="18" t="str">
        <f ca="1">IFERROR(VLOOKUP(E10,祝日,2,FALSE),"")</f>
        <v/>
      </c>
      <c r="G10" s="17">
        <v>44104</v>
      </c>
      <c r="H10" s="18" t="str">
        <f ca="1">IFERROR(VLOOKUP(G10,祝日,2,FALSE),"")</f>
        <v/>
      </c>
      <c r="I10" s="17">
        <v>44105</v>
      </c>
      <c r="J10" s="18" t="str">
        <f ca="1">IFERROR(VLOOKUP(I10,祝日,2,FALSE),"")</f>
        <v/>
      </c>
      <c r="K10" s="17">
        <v>44106</v>
      </c>
      <c r="L10" s="19" t="str">
        <f ca="1">IFERROR(VLOOKUP(K10,祝日,2,FALSE),"")</f>
        <v/>
      </c>
      <c r="M10" s="20">
        <v>44107</v>
      </c>
      <c r="N10" s="21" t="str">
        <f ca="1">IFERROR(VLOOKUP(M10,祝日,2,FALSE),"")</f>
        <v/>
      </c>
      <c r="AA10" s="5"/>
      <c r="AB10" s="5"/>
      <c r="AC10" s="5"/>
      <c r="AD10" s="5"/>
      <c r="AE10" s="5"/>
      <c r="AF10" s="5"/>
      <c r="AG10" s="5"/>
      <c r="AN10" s="2"/>
      <c r="AO10" s="2"/>
    </row>
    <row r="11" spans="1:41" ht="116">
      <c r="A11" s="22"/>
      <c r="B11" s="23"/>
      <c r="C11" s="24"/>
      <c r="D11" s="25"/>
      <c r="E11" s="26"/>
      <c r="F11" s="25"/>
      <c r="G11" s="24"/>
      <c r="H11" s="25"/>
      <c r="I11" s="24"/>
      <c r="J11" s="25" t="s">
        <v>46</v>
      </c>
      <c r="K11" s="24"/>
      <c r="L11" s="27" t="s">
        <v>47</v>
      </c>
      <c r="M11" s="28"/>
      <c r="N11" s="29" t="s">
        <v>48</v>
      </c>
      <c r="R11" s="64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6"/>
      <c r="AN11" s="2"/>
      <c r="AO11" s="2"/>
    </row>
    <row r="12" spans="1:41" ht="29">
      <c r="A12" s="59">
        <v>44108</v>
      </c>
      <c r="B12" s="31" t="str">
        <f ca="1">IFERROR(VLOOKUP(A12,祝日,2,FALSE),"")</f>
        <v/>
      </c>
      <c r="C12" s="32">
        <v>44109</v>
      </c>
      <c r="D12" s="33" t="str">
        <f ca="1">IFERROR(VLOOKUP(C12,祝日,2,FALSE),"")</f>
        <v/>
      </c>
      <c r="E12" s="32">
        <v>44110</v>
      </c>
      <c r="F12" s="33" t="str">
        <f ca="1">IFERROR(VLOOKUP(E12,祝日,2,FALSE),"")</f>
        <v/>
      </c>
      <c r="G12" s="32">
        <v>44111</v>
      </c>
      <c r="H12" s="33" t="str">
        <f ca="1">IFERROR(VLOOKUP(G12,祝日,2,FALSE),"")</f>
        <v/>
      </c>
      <c r="I12" s="32">
        <v>44112</v>
      </c>
      <c r="J12" s="33" t="str">
        <f ca="1">IFERROR(VLOOKUP(I12,祝日,2,FALSE),"")</f>
        <v/>
      </c>
      <c r="K12" s="32">
        <v>44113</v>
      </c>
      <c r="L12" s="33" t="str">
        <f ca="1">IFERROR(VLOOKUP(K12,祝日,2,FALSE),"")</f>
        <v/>
      </c>
      <c r="M12" s="34">
        <v>44114</v>
      </c>
      <c r="N12" s="35" t="str">
        <f ca="1">IFERROR(VLOOKUP(M12,祝日,2,FALSE),"")</f>
        <v/>
      </c>
      <c r="R12" s="67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9"/>
    </row>
    <row r="13" spans="1:41" ht="58">
      <c r="A13" s="36"/>
      <c r="B13" s="37" t="s">
        <v>48</v>
      </c>
      <c r="C13" s="24"/>
      <c r="D13" s="25"/>
      <c r="E13" s="24"/>
      <c r="F13" s="25" t="s">
        <v>36</v>
      </c>
      <c r="G13" s="24"/>
      <c r="H13" s="25"/>
      <c r="I13" s="24"/>
      <c r="J13" s="25" t="s">
        <v>35</v>
      </c>
      <c r="K13" s="24"/>
      <c r="L13" s="25"/>
      <c r="M13" s="28"/>
      <c r="N13" s="29" t="s">
        <v>42</v>
      </c>
      <c r="R13" s="67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9"/>
      <c r="AL13" s="9"/>
      <c r="AM13" s="3"/>
      <c r="AN13" s="3"/>
      <c r="AO13" s="4"/>
    </row>
    <row r="14" spans="1:41" ht="29">
      <c r="A14" s="59">
        <v>44115</v>
      </c>
      <c r="B14" s="31" t="str">
        <f ca="1">IFERROR(VLOOKUP(A14,祝日,2,FALSE),"")</f>
        <v/>
      </c>
      <c r="C14" s="32">
        <v>44116</v>
      </c>
      <c r="D14" s="33" t="str">
        <f ca="1">IFERROR(VLOOKUP(C14,祝日,2,FALSE),"")</f>
        <v>体育の日</v>
      </c>
      <c r="E14" s="32">
        <v>44117</v>
      </c>
      <c r="F14" s="33" t="str">
        <f ca="1">IFERROR(VLOOKUP(E14,祝日,2,FALSE),"")</f>
        <v/>
      </c>
      <c r="G14" s="32">
        <v>44118</v>
      </c>
      <c r="H14" s="33" t="str">
        <f ca="1">IFERROR(VLOOKUP(G14,祝日,2,FALSE),"")</f>
        <v/>
      </c>
      <c r="I14" s="32">
        <v>44119</v>
      </c>
      <c r="J14" s="33" t="str">
        <f ca="1">IFERROR(VLOOKUP(I14,祝日,2,FALSE),"")</f>
        <v/>
      </c>
      <c r="K14" s="32">
        <v>44120</v>
      </c>
      <c r="L14" s="33" t="str">
        <f ca="1">IFERROR(VLOOKUP(K14,祝日,2,FALSE),"")</f>
        <v/>
      </c>
      <c r="M14" s="34">
        <v>44121</v>
      </c>
      <c r="N14" s="35" t="str">
        <f ca="1">IFERROR(VLOOKUP(M14,祝日,2,FALSE),"")</f>
        <v/>
      </c>
      <c r="R14" s="67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9"/>
      <c r="AL14" s="9"/>
      <c r="AN14" s="2"/>
      <c r="AO14" s="2"/>
    </row>
    <row r="15" spans="1:41" ht="145">
      <c r="A15" s="36"/>
      <c r="B15" s="37"/>
      <c r="C15" s="24"/>
      <c r="D15" s="25" t="s">
        <v>43</v>
      </c>
      <c r="E15" s="24"/>
      <c r="F15" s="25"/>
      <c r="G15" s="24"/>
      <c r="H15" s="25" t="s">
        <v>44</v>
      </c>
      <c r="I15" s="24"/>
      <c r="J15" s="25" t="s">
        <v>45</v>
      </c>
      <c r="K15" s="24"/>
      <c r="L15" s="25" t="s">
        <v>35</v>
      </c>
      <c r="M15" s="28"/>
      <c r="N15" s="29" t="s">
        <v>35</v>
      </c>
      <c r="R15" s="67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9"/>
      <c r="AL15" s="9"/>
      <c r="AN15" s="2"/>
      <c r="AO15" s="2"/>
    </row>
    <row r="16" spans="1:41" ht="29">
      <c r="A16" s="59">
        <v>44122</v>
      </c>
      <c r="B16" s="31" t="str">
        <f ca="1">IFERROR(VLOOKUP(A16,祝日,2,FALSE),"")</f>
        <v/>
      </c>
      <c r="C16" s="32">
        <v>44123</v>
      </c>
      <c r="D16" s="33" t="str">
        <f ca="1">IFERROR(VLOOKUP(C16,祝日,2,FALSE),"")</f>
        <v/>
      </c>
      <c r="E16" s="32">
        <v>44124</v>
      </c>
      <c r="F16" s="33" t="str">
        <f ca="1">IFERROR(VLOOKUP(E16,祝日,2,FALSE),"")</f>
        <v/>
      </c>
      <c r="G16" s="32">
        <v>44125</v>
      </c>
      <c r="H16" s="33" t="str">
        <f ca="1">IFERROR(VLOOKUP(G16,祝日,2,FALSE),"")</f>
        <v/>
      </c>
      <c r="I16" s="32">
        <v>44126</v>
      </c>
      <c r="J16" s="33" t="str">
        <f ca="1">IFERROR(VLOOKUP(I16,祝日,2,FALSE),"")</f>
        <v/>
      </c>
      <c r="K16" s="32">
        <v>44127</v>
      </c>
      <c r="L16" s="33" t="str">
        <f ca="1">IFERROR(VLOOKUP(K16,祝日,2,FALSE),"")</f>
        <v/>
      </c>
      <c r="M16" s="34">
        <v>44128</v>
      </c>
      <c r="N16" s="35" t="str">
        <f ca="1">IFERROR(VLOOKUP(M16,祝日,2,FALSE),"")</f>
        <v/>
      </c>
      <c r="R16" s="67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9"/>
      <c r="AL16" s="14"/>
      <c r="AN16" s="2"/>
    </row>
    <row r="17" spans="1:41" ht="116">
      <c r="A17" s="38"/>
      <c r="B17" s="39" t="s">
        <v>46</v>
      </c>
      <c r="C17" s="24"/>
      <c r="D17" s="25" t="s">
        <v>46</v>
      </c>
      <c r="E17" s="24"/>
      <c r="F17" s="25" t="s">
        <v>47</v>
      </c>
      <c r="G17" s="24"/>
      <c r="H17" s="25" t="s">
        <v>48</v>
      </c>
      <c r="I17" s="24"/>
      <c r="J17" s="25" t="s">
        <v>48</v>
      </c>
      <c r="K17" s="24"/>
      <c r="L17" s="25"/>
      <c r="M17" s="28"/>
      <c r="N17" s="29" t="s">
        <v>36</v>
      </c>
      <c r="R17" s="67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9"/>
      <c r="AL17" s="9"/>
      <c r="AN17" s="2"/>
      <c r="AO17" s="10"/>
    </row>
    <row r="18" spans="1:41" ht="29">
      <c r="A18" s="59">
        <v>44129</v>
      </c>
      <c r="B18" s="31" t="str">
        <f ca="1">IFERROR(VLOOKUP(A18,祝日,2,FALSE),"")</f>
        <v/>
      </c>
      <c r="C18" s="32">
        <v>44130</v>
      </c>
      <c r="D18" s="33" t="str">
        <f ca="1">IFERROR(VLOOKUP(C18,祝日,2,FALSE),"")</f>
        <v/>
      </c>
      <c r="E18" s="32">
        <v>44131</v>
      </c>
      <c r="F18" s="33" t="str">
        <f ca="1">IFERROR(VLOOKUP(E18,祝日,2,FALSE),"")</f>
        <v/>
      </c>
      <c r="G18" s="32">
        <v>44132</v>
      </c>
      <c r="H18" s="33" t="str">
        <f ca="1">IFERROR(VLOOKUP(G18,祝日,2,FALSE),"")</f>
        <v/>
      </c>
      <c r="I18" s="32">
        <v>44133</v>
      </c>
      <c r="J18" s="33" t="str">
        <f ca="1">IFERROR(VLOOKUP(I18,祝日,2,FALSE),"")</f>
        <v/>
      </c>
      <c r="K18" s="32">
        <v>44134</v>
      </c>
      <c r="L18" s="33" t="str">
        <f ca="1">IFERROR(VLOOKUP(K18,祝日,2,FALSE),"")</f>
        <v/>
      </c>
      <c r="M18" s="34">
        <v>44135</v>
      </c>
      <c r="N18" s="35" t="str">
        <f ca="1">IFERROR(VLOOKUP(M18,祝日,2,FALSE),"")</f>
        <v/>
      </c>
      <c r="R18" s="67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9"/>
      <c r="AN18" s="2"/>
      <c r="AO18" s="2"/>
    </row>
    <row r="19" spans="1:41" ht="116">
      <c r="A19" s="36"/>
      <c r="B19" s="37"/>
      <c r="C19" s="24"/>
      <c r="D19" s="25" t="s">
        <v>35</v>
      </c>
      <c r="E19" s="24"/>
      <c r="F19" s="25"/>
      <c r="G19" s="24"/>
      <c r="H19" s="25" t="s">
        <v>42</v>
      </c>
      <c r="I19" s="24"/>
      <c r="J19" s="25"/>
      <c r="K19" s="24"/>
      <c r="L19" s="25" t="s">
        <v>43</v>
      </c>
      <c r="M19" s="28"/>
      <c r="N19" s="29"/>
      <c r="R19" s="70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2"/>
    </row>
    <row r="20" spans="1:41" ht="29">
      <c r="A20" s="30">
        <v>44136</v>
      </c>
      <c r="B20" s="31" t="str">
        <f>IFERROR(VLOOKUP(A20,#REF!,2,FALSE),"")</f>
        <v/>
      </c>
      <c r="C20" s="32">
        <v>44137</v>
      </c>
      <c r="D20" s="33" t="str">
        <f>IFERROR(VLOOKUP(C20,#REF!,2,FALSE),"")</f>
        <v/>
      </c>
      <c r="E20" s="40" t="s">
        <v>41</v>
      </c>
      <c r="F20" s="41"/>
      <c r="G20" s="41"/>
      <c r="H20" s="41"/>
      <c r="I20" s="41"/>
      <c r="J20" s="41"/>
      <c r="K20" s="41"/>
      <c r="L20" s="41"/>
      <c r="M20" s="42"/>
      <c r="N20" s="43"/>
      <c r="W20" s="11"/>
    </row>
    <row r="21" spans="1:41" ht="29.5" thickBot="1">
      <c r="A21" s="44"/>
      <c r="B21" s="45"/>
      <c r="C21" s="46"/>
      <c r="D21" s="47"/>
      <c r="E21" s="48"/>
      <c r="F21" s="49"/>
      <c r="G21" s="49"/>
      <c r="H21" s="49"/>
      <c r="I21" s="49"/>
      <c r="J21" s="49"/>
      <c r="K21" s="49"/>
      <c r="L21" s="49"/>
      <c r="M21" s="49"/>
      <c r="N21" s="50"/>
      <c r="V21" s="60"/>
      <c r="W21" s="3"/>
      <c r="X21" s="3"/>
      <c r="Y21" s="3"/>
      <c r="Z21" s="3"/>
      <c r="AA21" s="3"/>
      <c r="AB21" s="4"/>
      <c r="AD21" s="60"/>
      <c r="AE21" s="3"/>
      <c r="AF21" s="3"/>
      <c r="AG21" s="9"/>
      <c r="AH21" s="3"/>
      <c r="AI21" s="3"/>
      <c r="AJ21" s="4"/>
    </row>
    <row r="22" spans="1:41">
      <c r="V22" s="5"/>
      <c r="W22" s="5"/>
      <c r="X22" s="5"/>
      <c r="Y22" s="5"/>
      <c r="Z22" s="5"/>
      <c r="AA22" s="5"/>
      <c r="AB22" s="5"/>
      <c r="AG22" s="9"/>
      <c r="AI22" s="2"/>
      <c r="AJ22" s="2"/>
    </row>
    <row r="23" spans="1:41">
      <c r="V23" s="5"/>
      <c r="W23" s="5"/>
      <c r="X23" s="5"/>
      <c r="Y23" s="5"/>
      <c r="Z23" s="5"/>
      <c r="AA23" s="5"/>
      <c r="AB23" s="5"/>
      <c r="AG23" s="9"/>
      <c r="AI23" s="2"/>
      <c r="AJ23" s="2"/>
    </row>
    <row r="24" spans="1:41">
      <c r="V24" s="5"/>
      <c r="W24" s="5"/>
      <c r="X24" s="5"/>
      <c r="Y24" s="5"/>
      <c r="Z24" s="5"/>
      <c r="AA24" s="5"/>
      <c r="AB24" s="5"/>
      <c r="AG24" s="14"/>
      <c r="AI24" s="2"/>
    </row>
    <row r="25" spans="1:41">
      <c r="V25" s="5"/>
      <c r="W25" s="5"/>
      <c r="X25" s="5"/>
      <c r="Y25" s="5"/>
      <c r="Z25" s="5"/>
      <c r="AA25" s="5"/>
      <c r="AB25" s="5"/>
      <c r="AG25" s="9"/>
      <c r="AI25" s="2"/>
      <c r="AJ25" s="10"/>
    </row>
    <row r="26" spans="1:41">
      <c r="R26" s="61"/>
      <c r="V26" s="5"/>
      <c r="W26" s="5"/>
      <c r="X26" s="5"/>
      <c r="Y26" s="5"/>
      <c r="Z26" s="5"/>
      <c r="AA26" s="5"/>
      <c r="AB26" s="5"/>
      <c r="AI26" s="2"/>
      <c r="AJ26" s="2"/>
    </row>
    <row r="27" spans="1:41">
      <c r="R27" s="9"/>
    </row>
    <row r="28" spans="1:41">
      <c r="R28" s="11"/>
    </row>
    <row r="29" spans="1:41">
      <c r="R29" s="9"/>
    </row>
    <row r="31" spans="1:41" ht="20">
      <c r="S31" s="1"/>
    </row>
  </sheetData>
  <mergeCells count="15">
    <mergeCell ref="R11:AK19"/>
    <mergeCell ref="W1:AC1"/>
    <mergeCell ref="AE1:AK1"/>
    <mergeCell ref="A9:B9"/>
    <mergeCell ref="C9:D9"/>
    <mergeCell ref="E9:F9"/>
    <mergeCell ref="G9:H9"/>
    <mergeCell ref="I9:J9"/>
    <mergeCell ref="K9:L9"/>
    <mergeCell ref="M9:N9"/>
    <mergeCell ref="R5:R6"/>
    <mergeCell ref="P5:Q6"/>
    <mergeCell ref="P3:Q4"/>
    <mergeCell ref="R3:R4"/>
    <mergeCell ref="A1:H7"/>
  </mergeCells>
  <phoneticPr fontId="2"/>
  <conditionalFormatting sqref="A10:A12 C10:C12 A14 C14 E14 G14 E16 G16 A16:A18 C18 E18 G18 A20 C20 E10:E12 G10:G12 I11">
    <cfRule type="expression" dxfId="32" priority="35">
      <formula>MONTH(A10)&lt;&gt;MONTH($A$1)</formula>
    </cfRule>
    <cfRule type="expression" dxfId="31" priority="36">
      <formula>"WEEKDAY(A10,1)=7"</formula>
    </cfRule>
    <cfRule type="expression" dxfId="30" priority="1">
      <formula>"WEEKDAY(A10,1)=1"</formula>
    </cfRule>
  </conditionalFormatting>
  <conditionalFormatting sqref="I10 I12 I14 I16 I18">
    <cfRule type="expression" dxfId="29" priority="33">
      <formula>MONTH(I10)&lt;&gt;MONTH($A$1)</formula>
    </cfRule>
    <cfRule type="expression" dxfId="28" priority="34">
      <formula>OR(WEEKDAY(I10,1)=1,WEEKDAY(I10,1)=7)</formula>
    </cfRule>
  </conditionalFormatting>
  <conditionalFormatting sqref="A21 A19 A15 A13">
    <cfRule type="expression" dxfId="27" priority="31">
      <formula>MONTH(A13)&lt;&gt;MONTH($A$1)</formula>
    </cfRule>
    <cfRule type="expression" dxfId="26" priority="32">
      <formula>OR(WEEKDAY(A13,1)=1,WEEKDAY(A13,1)=7)</formula>
    </cfRule>
  </conditionalFormatting>
  <conditionalFormatting sqref="C19 E19 G19 I19 C17 E17 G17 I17 C15 E15 G15 I15 C13 E13 G13 I13">
    <cfRule type="expression" dxfId="25" priority="29">
      <formula>MONTH(C13)&lt;&gt;MONTH($A$1)</formula>
    </cfRule>
    <cfRule type="expression" dxfId="24" priority="30">
      <formula>OR(WEEKDAY(C13,1)=1,WEEKDAY(C13,1)=7)</formula>
    </cfRule>
  </conditionalFormatting>
  <conditionalFormatting sqref="C21">
    <cfRule type="expression" dxfId="23" priority="27">
      <formula>MONTH(C21)&lt;&gt;MONTH($A$1)</formula>
    </cfRule>
    <cfRule type="expression" dxfId="22" priority="28">
      <formula>OR(WEEKDAY(C21,1)=1,WEEKDAY(C21,1)=7)</formula>
    </cfRule>
  </conditionalFormatting>
  <conditionalFormatting sqref="K10 K12 K14 K16 K18">
    <cfRule type="expression" dxfId="21" priority="23">
      <formula>MONTH(K10)&lt;&gt;MONTH($A$1)</formula>
    </cfRule>
    <cfRule type="expression" dxfId="20" priority="24">
      <formula>OR(WEEKDAY(K10,1)=1,WEEKDAY(K10,1)=7)</formula>
    </cfRule>
  </conditionalFormatting>
  <conditionalFormatting sqref="K19 K17 K15 K13">
    <cfRule type="expression" dxfId="19" priority="21">
      <formula>MONTH(K13)&lt;&gt;MONTH($A$1)</formula>
    </cfRule>
    <cfRule type="expression" dxfId="18" priority="22">
      <formula>OR(WEEKDAY(K13,1)=1,WEEKDAY(K13,1)=7)</formula>
    </cfRule>
  </conditionalFormatting>
  <conditionalFormatting sqref="K11">
    <cfRule type="expression" dxfId="17" priority="25">
      <formula>MONTH(K11)&lt;&gt;MONTH($A$1)</formula>
    </cfRule>
    <cfRule type="expression" dxfId="16" priority="26">
      <formula>OR(WEEKDAY(K11,1)=1,WEEKDAY(K11,1)=7)</formula>
    </cfRule>
  </conditionalFormatting>
  <conditionalFormatting sqref="M10:M11">
    <cfRule type="expression" dxfId="15" priority="19">
      <formula>MONTH(M10)&lt;&gt;MONTH($A$1)</formula>
    </cfRule>
    <cfRule type="expression" dxfId="14" priority="20">
      <formula>OR(WEEKDAY(M10,1)=1,WEEKDAY(M10,1)=7)</formula>
    </cfRule>
  </conditionalFormatting>
  <conditionalFormatting sqref="M14:M15">
    <cfRule type="expression" dxfId="13" priority="17">
      <formula>MONTH(M14)&lt;&gt;MONTH($A$1)</formula>
    </cfRule>
    <cfRule type="expression" dxfId="12" priority="18">
      <formula>OR(WEEKDAY(M14,1)=1,WEEKDAY(M14,1)=7)</formula>
    </cfRule>
  </conditionalFormatting>
  <conditionalFormatting sqref="M16:M17">
    <cfRule type="expression" dxfId="11" priority="15">
      <formula>MONTH(M16)&lt;&gt;MONTH($A$1)</formula>
    </cfRule>
    <cfRule type="expression" dxfId="10" priority="16">
      <formula>OR(WEEKDAY(M16,1)=1,WEEKDAY(M16,1)=7)</formula>
    </cfRule>
  </conditionalFormatting>
  <conditionalFormatting sqref="M18:M19">
    <cfRule type="expression" dxfId="9" priority="13">
      <formula>MONTH(M18)&lt;&gt;MONTH($A$1)</formula>
    </cfRule>
    <cfRule type="expression" dxfId="8" priority="14">
      <formula>OR(WEEKDAY(M18,1)=1,WEEKDAY(M18,1)=7)</formula>
    </cfRule>
  </conditionalFormatting>
  <conditionalFormatting sqref="M12:M13">
    <cfRule type="expression" dxfId="7" priority="11">
      <formula>MONTH(M12)&lt;&gt;MONTH($A$1)</formula>
    </cfRule>
    <cfRule type="expression" dxfId="6" priority="12">
      <formula>OR(WEEKDAY(M12,1)=1,WEEKDAY(M12,1)=7)</formula>
    </cfRule>
  </conditionalFormatting>
  <conditionalFormatting sqref="X3:AK8">
    <cfRule type="expression" dxfId="5" priority="9" stopIfTrue="1">
      <formula>COUNTIF(祝日,X3)&gt;0</formula>
    </cfRule>
  </conditionalFormatting>
  <conditionalFormatting sqref="C16">
    <cfRule type="expression" dxfId="4" priority="4">
      <formula>MONTH(C16)&lt;&gt;MONTH($A$1)</formula>
    </cfRule>
    <cfRule type="expression" dxfId="3" priority="5">
      <formula>OR(WEEKDAY(C16,1)=1,WEEKDAY(C16,1)=7)</formula>
    </cfRule>
  </conditionalFormatting>
  <conditionalFormatting sqref="A10 C10 E10 G10 I10 K10 M10 M12 K12 I12 G12 E12 C12 A12 A14 C14 E14 G14 I14 K14:M14 M16 K16 I16 G16 E16 C16 A16 A18 C18 E18 G18 I18 K18 M18 C20 A20">
    <cfRule type="expression" dxfId="2" priority="2">
      <formula>COUNTIF(祝日,A10)&gt;0</formula>
    </cfRule>
  </conditionalFormatting>
  <dataValidations count="1">
    <dataValidation type="list" allowBlank="1" showInputMessage="1" showErrorMessage="1" sqref="R5" xr:uid="{4710E86C-5488-4635-AA43-FA183B1BB747}">
      <formula1>"1,2,3,4,5,6,7,8,9,10,11,12"</formula1>
    </dataValidation>
  </dataValidations>
  <pageMargins left="0.7" right="0.7" top="0.75" bottom="0.75" header="0.3" footer="0.3"/>
  <pageSetup orientation="landscape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4F8A-69BA-4F33-ACD8-37148AD2A4F1}">
  <sheetPr codeName="Sheet2"/>
  <dimension ref="A1:AK366"/>
  <sheetViews>
    <sheetView workbookViewId="0">
      <pane xSplit="8" topLeftCell="I1" activePane="topRight" state="frozen"/>
      <selection pane="topRight" activeCell="D5" sqref="D5"/>
    </sheetView>
  </sheetViews>
  <sheetFormatPr defaultRowHeight="18"/>
  <cols>
    <col min="1" max="1" width="11.4140625" style="2" bestFit="1" customWidth="1"/>
    <col min="3" max="3" width="5.5" customWidth="1"/>
    <col min="4" max="4" width="12.5" bestFit="1" customWidth="1"/>
    <col min="7" max="7" width="10.9140625" style="2" bestFit="1" customWidth="1"/>
    <col min="8" max="8" width="8.6640625" style="8"/>
  </cols>
  <sheetData>
    <row r="1" spans="1:37">
      <c r="A1" s="7" t="s">
        <v>2</v>
      </c>
      <c r="B1" s="7" t="s">
        <v>3</v>
      </c>
      <c r="C1" s="7"/>
      <c r="D1" s="7" t="s">
        <v>23</v>
      </c>
      <c r="F1" s="12" t="s">
        <v>24</v>
      </c>
      <c r="G1" s="12" t="s">
        <v>25</v>
      </c>
      <c r="H1" s="12" t="s">
        <v>26</v>
      </c>
      <c r="I1" s="13" t="s">
        <v>27</v>
      </c>
      <c r="J1" s="13" t="s">
        <v>28</v>
      </c>
      <c r="K1" s="13" t="s">
        <v>29</v>
      </c>
      <c r="L1" s="13" t="s">
        <v>30</v>
      </c>
      <c r="M1" s="13" t="s">
        <v>31</v>
      </c>
    </row>
    <row r="2" spans="1:37">
      <c r="A2" s="2">
        <v>43831</v>
      </c>
      <c r="B2" t="s">
        <v>4</v>
      </c>
      <c r="D2" s="62">
        <v>2020</v>
      </c>
      <c r="F2">
        <v>1</v>
      </c>
      <c r="G2" s="2">
        <f>DATE(D2,1,1)</f>
        <v>43831</v>
      </c>
      <c r="H2" s="8">
        <f>G2</f>
        <v>43831</v>
      </c>
      <c r="I2" t="s">
        <v>32</v>
      </c>
      <c r="J2" t="s">
        <v>33</v>
      </c>
    </row>
    <row r="3" spans="1:37">
      <c r="A3" s="2">
        <v>43832</v>
      </c>
      <c r="B3" t="s">
        <v>5</v>
      </c>
      <c r="F3">
        <v>2</v>
      </c>
      <c r="G3" s="2">
        <f>G2+1</f>
        <v>43832</v>
      </c>
      <c r="H3" s="8">
        <f t="shared" ref="H3:H66" si="0">G3</f>
        <v>43832</v>
      </c>
      <c r="I3" t="s">
        <v>35</v>
      </c>
      <c r="W3" s="2"/>
      <c r="X3" s="2"/>
      <c r="Y3" s="2"/>
      <c r="Z3" s="2"/>
      <c r="AA3" s="2"/>
      <c r="AB3" s="2"/>
      <c r="AC3" s="2"/>
      <c r="AE3" s="2"/>
      <c r="AF3" s="2"/>
      <c r="AG3" s="2"/>
      <c r="AH3" s="2"/>
      <c r="AI3" s="2"/>
      <c r="AJ3" s="2"/>
      <c r="AK3" s="2"/>
    </row>
    <row r="4" spans="1:37">
      <c r="A4" s="2">
        <v>43833</v>
      </c>
      <c r="B4" t="s">
        <v>5</v>
      </c>
      <c r="D4" s="7" t="s">
        <v>52</v>
      </c>
      <c r="F4">
        <v>3</v>
      </c>
      <c r="G4" s="2">
        <f t="shared" ref="G4:G67" si="1">G3+1</f>
        <v>43833</v>
      </c>
      <c r="H4" s="8">
        <f t="shared" si="0"/>
        <v>43833</v>
      </c>
      <c r="I4" t="s">
        <v>35</v>
      </c>
      <c r="W4" s="2"/>
      <c r="X4" s="2"/>
      <c r="Y4" s="2"/>
      <c r="Z4" s="2"/>
      <c r="AA4" s="2"/>
      <c r="AB4" s="2"/>
      <c r="AC4" s="2"/>
      <c r="AE4" s="2"/>
      <c r="AF4" s="2"/>
      <c r="AG4" s="2"/>
      <c r="AH4" s="2"/>
      <c r="AI4" s="2"/>
      <c r="AJ4" s="2"/>
      <c r="AK4" s="2"/>
    </row>
    <row r="5" spans="1:37">
      <c r="A5" s="2">
        <v>43843</v>
      </c>
      <c r="B5" t="s">
        <v>6</v>
      </c>
      <c r="D5" s="63">
        <f ca="1">TODAY()</f>
        <v>44108</v>
      </c>
      <c r="F5">
        <v>4</v>
      </c>
      <c r="G5" s="2">
        <f t="shared" si="1"/>
        <v>43834</v>
      </c>
      <c r="H5" s="8">
        <f t="shared" si="0"/>
        <v>43834</v>
      </c>
      <c r="I5" t="s">
        <v>35</v>
      </c>
      <c r="J5" t="s">
        <v>34</v>
      </c>
      <c r="K5" t="s">
        <v>35</v>
      </c>
      <c r="W5" s="2"/>
      <c r="X5" s="2"/>
      <c r="Y5" s="2"/>
      <c r="Z5" s="2"/>
      <c r="AA5" s="2"/>
      <c r="AB5" s="2"/>
      <c r="AC5" s="2"/>
      <c r="AE5" s="2"/>
      <c r="AF5" s="2"/>
      <c r="AG5" s="2"/>
      <c r="AH5" s="2"/>
      <c r="AI5" s="2"/>
      <c r="AJ5" s="2"/>
      <c r="AK5" s="2"/>
    </row>
    <row r="6" spans="1:37">
      <c r="A6" s="2">
        <v>43872</v>
      </c>
      <c r="B6" t="s">
        <v>7</v>
      </c>
      <c r="F6">
        <v>5</v>
      </c>
      <c r="G6" s="2">
        <f t="shared" si="1"/>
        <v>43835</v>
      </c>
      <c r="H6" s="8">
        <f t="shared" si="0"/>
        <v>43835</v>
      </c>
      <c r="I6" t="s">
        <v>35</v>
      </c>
      <c r="J6" t="s">
        <v>34</v>
      </c>
      <c r="K6" t="s">
        <v>35</v>
      </c>
      <c r="W6" s="2"/>
      <c r="X6" s="2"/>
      <c r="Y6" s="2"/>
      <c r="Z6" s="2"/>
      <c r="AA6" s="2"/>
      <c r="AB6" s="2"/>
      <c r="AC6" s="2"/>
      <c r="AE6" s="2"/>
      <c r="AF6" s="2"/>
      <c r="AG6" s="2"/>
      <c r="AH6" s="2"/>
      <c r="AI6" s="2"/>
      <c r="AJ6" s="2"/>
      <c r="AK6" s="2"/>
    </row>
    <row r="7" spans="1:37">
      <c r="A7" s="2">
        <v>43910</v>
      </c>
      <c r="B7" t="s">
        <v>8</v>
      </c>
      <c r="F7">
        <v>6</v>
      </c>
      <c r="G7" s="2">
        <f t="shared" si="1"/>
        <v>43836</v>
      </c>
      <c r="H7" s="8">
        <f t="shared" si="0"/>
        <v>43836</v>
      </c>
      <c r="I7" t="s">
        <v>35</v>
      </c>
      <c r="J7" t="s">
        <v>34</v>
      </c>
      <c r="K7" t="s">
        <v>35</v>
      </c>
      <c r="L7" t="s">
        <v>37</v>
      </c>
      <c r="W7" s="2"/>
      <c r="X7" s="2"/>
      <c r="Y7" s="2"/>
      <c r="AE7" s="2"/>
      <c r="AF7" s="2"/>
      <c r="AG7" s="2"/>
      <c r="AH7" s="2"/>
      <c r="AI7" s="2"/>
      <c r="AJ7" s="2"/>
      <c r="AK7" s="2"/>
    </row>
    <row r="8" spans="1:37">
      <c r="A8" s="2">
        <v>43950</v>
      </c>
      <c r="B8" t="s">
        <v>9</v>
      </c>
      <c r="F8">
        <v>7</v>
      </c>
      <c r="G8" s="2">
        <f t="shared" si="1"/>
        <v>43837</v>
      </c>
      <c r="H8" s="8">
        <f t="shared" si="0"/>
        <v>43837</v>
      </c>
      <c r="I8" t="s">
        <v>35</v>
      </c>
      <c r="K8" t="s">
        <v>35</v>
      </c>
      <c r="AE8" s="2"/>
      <c r="AF8" s="2"/>
    </row>
    <row r="9" spans="1:37">
      <c r="A9" s="2">
        <v>43954</v>
      </c>
      <c r="B9" t="s">
        <v>10</v>
      </c>
      <c r="F9">
        <v>8</v>
      </c>
      <c r="G9" s="2">
        <f t="shared" si="1"/>
        <v>43838</v>
      </c>
      <c r="H9" s="8">
        <f t="shared" si="0"/>
        <v>43838</v>
      </c>
      <c r="I9" t="s">
        <v>35</v>
      </c>
      <c r="K9" t="s">
        <v>35</v>
      </c>
    </row>
    <row r="10" spans="1:37">
      <c r="A10" s="2">
        <v>43955</v>
      </c>
      <c r="B10" t="s">
        <v>11</v>
      </c>
      <c r="C10" s="2"/>
      <c r="E10" s="2"/>
      <c r="F10">
        <v>9</v>
      </c>
      <c r="G10" s="2">
        <f t="shared" si="1"/>
        <v>43839</v>
      </c>
      <c r="H10" s="8">
        <f t="shared" si="0"/>
        <v>43839</v>
      </c>
      <c r="I10" s="2"/>
      <c r="K10" s="2"/>
      <c r="M10" s="2"/>
    </row>
    <row r="11" spans="1:37">
      <c r="A11" s="2">
        <v>43956</v>
      </c>
      <c r="B11" t="s">
        <v>12</v>
      </c>
      <c r="F11">
        <v>10</v>
      </c>
      <c r="G11" s="2">
        <f t="shared" si="1"/>
        <v>43840</v>
      </c>
      <c r="H11" s="8">
        <f t="shared" si="0"/>
        <v>43840</v>
      </c>
      <c r="I11" t="s">
        <v>36</v>
      </c>
    </row>
    <row r="12" spans="1:37">
      <c r="A12" s="2">
        <v>43957</v>
      </c>
      <c r="B12" t="s">
        <v>13</v>
      </c>
      <c r="C12" s="2"/>
      <c r="E12" s="2"/>
      <c r="F12">
        <v>11</v>
      </c>
      <c r="G12" s="2">
        <f t="shared" si="1"/>
        <v>43841</v>
      </c>
      <c r="H12" s="8">
        <f t="shared" si="0"/>
        <v>43841</v>
      </c>
      <c r="I12" s="2"/>
      <c r="K12" s="2"/>
      <c r="M12" s="2"/>
    </row>
    <row r="13" spans="1:37">
      <c r="A13" s="2">
        <v>44035</v>
      </c>
      <c r="B13" t="s">
        <v>51</v>
      </c>
      <c r="F13">
        <v>12</v>
      </c>
      <c r="G13" s="2">
        <f t="shared" si="1"/>
        <v>43842</v>
      </c>
      <c r="H13" s="8">
        <f t="shared" si="0"/>
        <v>43842</v>
      </c>
      <c r="I13" t="s">
        <v>35</v>
      </c>
    </row>
    <row r="14" spans="1:37">
      <c r="A14" s="2">
        <v>44036</v>
      </c>
      <c r="B14" t="s">
        <v>14</v>
      </c>
      <c r="C14" s="2"/>
      <c r="E14" s="2"/>
      <c r="F14">
        <v>13</v>
      </c>
      <c r="G14" s="2">
        <f t="shared" si="1"/>
        <v>43843</v>
      </c>
      <c r="H14" s="8">
        <f t="shared" si="0"/>
        <v>43843</v>
      </c>
      <c r="I14" s="2"/>
      <c r="K14" s="2"/>
      <c r="M14" s="2"/>
    </row>
    <row r="15" spans="1:37">
      <c r="A15" s="2">
        <v>44053</v>
      </c>
      <c r="B15" t="s">
        <v>15</v>
      </c>
      <c r="F15">
        <v>14</v>
      </c>
      <c r="G15" s="2">
        <f t="shared" si="1"/>
        <v>43844</v>
      </c>
      <c r="H15" s="8">
        <f t="shared" si="0"/>
        <v>43844</v>
      </c>
      <c r="I15" t="s">
        <v>34</v>
      </c>
      <c r="J15" t="s">
        <v>34</v>
      </c>
    </row>
    <row r="16" spans="1:37">
      <c r="A16" s="2">
        <v>44095</v>
      </c>
      <c r="B16" t="s">
        <v>16</v>
      </c>
      <c r="C16" s="2"/>
      <c r="E16" s="2"/>
      <c r="F16">
        <v>15</v>
      </c>
      <c r="G16" s="2">
        <f t="shared" si="1"/>
        <v>43845</v>
      </c>
      <c r="H16" s="8">
        <f t="shared" si="0"/>
        <v>43845</v>
      </c>
      <c r="I16" s="2"/>
      <c r="K16" s="2"/>
      <c r="M16" s="2"/>
    </row>
    <row r="17" spans="1:13">
      <c r="A17" s="2">
        <v>44096</v>
      </c>
      <c r="B17" t="s">
        <v>17</v>
      </c>
      <c r="F17">
        <v>16</v>
      </c>
      <c r="G17" s="2">
        <f t="shared" si="1"/>
        <v>43846</v>
      </c>
      <c r="H17" s="8">
        <f t="shared" si="0"/>
        <v>43846</v>
      </c>
      <c r="I17" t="s">
        <v>37</v>
      </c>
      <c r="J17" t="s">
        <v>37</v>
      </c>
      <c r="K17" t="s">
        <v>37</v>
      </c>
      <c r="L17" t="s">
        <v>37</v>
      </c>
    </row>
    <row r="18" spans="1:13">
      <c r="A18" s="2">
        <v>44116</v>
      </c>
      <c r="B18" t="s">
        <v>18</v>
      </c>
      <c r="C18" s="2"/>
      <c r="E18" s="2"/>
      <c r="F18">
        <v>17</v>
      </c>
      <c r="G18" s="2">
        <f t="shared" si="1"/>
        <v>43847</v>
      </c>
      <c r="H18" s="8">
        <f t="shared" si="0"/>
        <v>43847</v>
      </c>
      <c r="I18" s="2"/>
      <c r="K18" s="2"/>
      <c r="M18" s="2"/>
    </row>
    <row r="19" spans="1:13">
      <c r="A19" s="2">
        <v>44138</v>
      </c>
      <c r="B19" t="s">
        <v>19</v>
      </c>
      <c r="F19">
        <v>18</v>
      </c>
      <c r="G19" s="2">
        <f t="shared" si="1"/>
        <v>43848</v>
      </c>
      <c r="H19" s="8">
        <f t="shared" si="0"/>
        <v>43848</v>
      </c>
      <c r="I19" t="s">
        <v>35</v>
      </c>
      <c r="J19" t="s">
        <v>35</v>
      </c>
      <c r="K19" t="s">
        <v>35</v>
      </c>
    </row>
    <row r="20" spans="1:13">
      <c r="A20" s="2">
        <v>44158</v>
      </c>
      <c r="B20" t="s">
        <v>20</v>
      </c>
      <c r="C20" s="2"/>
      <c r="F20">
        <v>19</v>
      </c>
      <c r="G20" s="2">
        <f t="shared" si="1"/>
        <v>43849</v>
      </c>
      <c r="H20" s="8">
        <f t="shared" si="0"/>
        <v>43849</v>
      </c>
      <c r="I20" t="s">
        <v>32</v>
      </c>
      <c r="J20" t="s">
        <v>33</v>
      </c>
      <c r="K20" t="s">
        <v>38</v>
      </c>
      <c r="L20" t="s">
        <v>39</v>
      </c>
      <c r="M20" t="s">
        <v>40</v>
      </c>
    </row>
    <row r="21" spans="1:13">
      <c r="A21" s="2">
        <v>43885</v>
      </c>
      <c r="B21" t="s">
        <v>21</v>
      </c>
      <c r="F21">
        <v>20</v>
      </c>
      <c r="G21" s="2">
        <f t="shared" si="1"/>
        <v>43850</v>
      </c>
      <c r="H21" s="8">
        <f t="shared" si="0"/>
        <v>43850</v>
      </c>
      <c r="I21" t="s">
        <v>35</v>
      </c>
    </row>
    <row r="22" spans="1:13">
      <c r="A22" s="2">
        <v>44195</v>
      </c>
      <c r="B22" t="s">
        <v>22</v>
      </c>
      <c r="F22">
        <v>21</v>
      </c>
      <c r="G22" s="2">
        <f t="shared" si="1"/>
        <v>43851</v>
      </c>
      <c r="H22" s="8">
        <f t="shared" si="0"/>
        <v>43851</v>
      </c>
      <c r="I22" t="s">
        <v>35</v>
      </c>
    </row>
    <row r="23" spans="1:13">
      <c r="A23" s="2">
        <v>44196</v>
      </c>
      <c r="B23" t="s">
        <v>22</v>
      </c>
      <c r="F23">
        <v>22</v>
      </c>
      <c r="G23" s="2">
        <f t="shared" si="1"/>
        <v>43852</v>
      </c>
      <c r="H23" s="8">
        <f t="shared" si="0"/>
        <v>43852</v>
      </c>
      <c r="I23" t="s">
        <v>35</v>
      </c>
      <c r="J23" t="s">
        <v>34</v>
      </c>
      <c r="K23" t="s">
        <v>35</v>
      </c>
    </row>
    <row r="24" spans="1:13">
      <c r="F24">
        <v>23</v>
      </c>
      <c r="G24" s="2">
        <f t="shared" si="1"/>
        <v>43853</v>
      </c>
      <c r="H24" s="8">
        <f t="shared" si="0"/>
        <v>43853</v>
      </c>
      <c r="I24" t="s">
        <v>35</v>
      </c>
      <c r="J24" t="s">
        <v>34</v>
      </c>
      <c r="K24" t="s">
        <v>35</v>
      </c>
    </row>
    <row r="25" spans="1:13">
      <c r="F25">
        <v>24</v>
      </c>
      <c r="G25" s="2">
        <f t="shared" si="1"/>
        <v>43854</v>
      </c>
      <c r="H25" s="8">
        <f t="shared" si="0"/>
        <v>43854</v>
      </c>
      <c r="I25" t="s">
        <v>35</v>
      </c>
      <c r="J25" t="s">
        <v>34</v>
      </c>
      <c r="K25" t="s">
        <v>35</v>
      </c>
      <c r="L25" t="s">
        <v>37</v>
      </c>
    </row>
    <row r="26" spans="1:13">
      <c r="F26">
        <v>25</v>
      </c>
      <c r="G26" s="2">
        <f t="shared" si="1"/>
        <v>43855</v>
      </c>
      <c r="H26" s="8">
        <f t="shared" si="0"/>
        <v>43855</v>
      </c>
      <c r="I26" t="s">
        <v>35</v>
      </c>
      <c r="K26" t="s">
        <v>35</v>
      </c>
    </row>
    <row r="27" spans="1:13">
      <c r="F27">
        <v>26</v>
      </c>
      <c r="G27" s="2">
        <f t="shared" si="1"/>
        <v>43856</v>
      </c>
      <c r="H27" s="8">
        <f t="shared" si="0"/>
        <v>43856</v>
      </c>
      <c r="I27" t="s">
        <v>35</v>
      </c>
      <c r="K27" t="s">
        <v>35</v>
      </c>
    </row>
    <row r="28" spans="1:13">
      <c r="F28">
        <v>27</v>
      </c>
      <c r="G28" s="2">
        <f t="shared" si="1"/>
        <v>43857</v>
      </c>
      <c r="H28" s="8">
        <f t="shared" si="0"/>
        <v>43857</v>
      </c>
    </row>
    <row r="29" spans="1:13">
      <c r="F29">
        <v>28</v>
      </c>
      <c r="G29" s="2">
        <f t="shared" si="1"/>
        <v>43858</v>
      </c>
      <c r="H29" s="8">
        <f t="shared" si="0"/>
        <v>43858</v>
      </c>
      <c r="I29" t="s">
        <v>36</v>
      </c>
    </row>
    <row r="30" spans="1:13">
      <c r="F30">
        <v>29</v>
      </c>
      <c r="G30" s="2">
        <f t="shared" si="1"/>
        <v>43859</v>
      </c>
      <c r="H30" s="8">
        <f t="shared" si="0"/>
        <v>43859</v>
      </c>
    </row>
    <row r="31" spans="1:13">
      <c r="F31">
        <v>30</v>
      </c>
      <c r="G31" s="2">
        <f t="shared" si="1"/>
        <v>43860</v>
      </c>
      <c r="H31" s="8">
        <f t="shared" si="0"/>
        <v>43860</v>
      </c>
      <c r="I31" t="s">
        <v>35</v>
      </c>
    </row>
    <row r="32" spans="1:13">
      <c r="F32">
        <v>31</v>
      </c>
      <c r="G32" s="2">
        <f t="shared" si="1"/>
        <v>43861</v>
      </c>
      <c r="H32" s="8">
        <f t="shared" si="0"/>
        <v>43861</v>
      </c>
    </row>
    <row r="33" spans="6:13">
      <c r="F33">
        <v>32</v>
      </c>
      <c r="G33" s="2">
        <f t="shared" si="1"/>
        <v>43862</v>
      </c>
      <c r="H33" s="8">
        <f t="shared" si="0"/>
        <v>43862</v>
      </c>
      <c r="I33" t="s">
        <v>34</v>
      </c>
      <c r="J33" t="s">
        <v>34</v>
      </c>
    </row>
    <row r="34" spans="6:13">
      <c r="F34">
        <v>33</v>
      </c>
      <c r="G34" s="2">
        <f t="shared" si="1"/>
        <v>43863</v>
      </c>
      <c r="H34" s="8">
        <f t="shared" si="0"/>
        <v>43863</v>
      </c>
    </row>
    <row r="35" spans="6:13">
      <c r="F35">
        <v>34</v>
      </c>
      <c r="G35" s="2">
        <f t="shared" si="1"/>
        <v>43864</v>
      </c>
      <c r="H35" s="8">
        <f t="shared" si="0"/>
        <v>43864</v>
      </c>
      <c r="I35" t="s">
        <v>37</v>
      </c>
      <c r="J35" t="s">
        <v>37</v>
      </c>
      <c r="K35" t="s">
        <v>37</v>
      </c>
      <c r="L35" t="s">
        <v>37</v>
      </c>
    </row>
    <row r="36" spans="6:13">
      <c r="F36">
        <v>35</v>
      </c>
      <c r="G36" s="2">
        <f t="shared" si="1"/>
        <v>43865</v>
      </c>
      <c r="H36" s="8">
        <f t="shared" si="0"/>
        <v>43865</v>
      </c>
    </row>
    <row r="37" spans="6:13">
      <c r="F37">
        <v>36</v>
      </c>
      <c r="G37" s="2">
        <f t="shared" si="1"/>
        <v>43866</v>
      </c>
      <c r="H37" s="8">
        <f t="shared" si="0"/>
        <v>43866</v>
      </c>
      <c r="I37" t="s">
        <v>35</v>
      </c>
      <c r="J37" t="s">
        <v>35</v>
      </c>
      <c r="K37" t="s">
        <v>35</v>
      </c>
    </row>
    <row r="38" spans="6:13">
      <c r="F38">
        <v>37</v>
      </c>
      <c r="G38" s="2">
        <f t="shared" si="1"/>
        <v>43867</v>
      </c>
      <c r="H38" s="8">
        <f t="shared" si="0"/>
        <v>43867</v>
      </c>
      <c r="I38" t="s">
        <v>32</v>
      </c>
      <c r="J38" t="s">
        <v>33</v>
      </c>
      <c r="K38" t="s">
        <v>38</v>
      </c>
      <c r="L38" t="s">
        <v>39</v>
      </c>
      <c r="M38" t="s">
        <v>40</v>
      </c>
    </row>
    <row r="39" spans="6:13">
      <c r="F39">
        <v>38</v>
      </c>
      <c r="G39" s="2">
        <f t="shared" si="1"/>
        <v>43868</v>
      </c>
      <c r="H39" s="8">
        <f t="shared" si="0"/>
        <v>43868</v>
      </c>
      <c r="I39" t="s">
        <v>35</v>
      </c>
    </row>
    <row r="40" spans="6:13">
      <c r="F40">
        <v>39</v>
      </c>
      <c r="G40" s="2">
        <f t="shared" si="1"/>
        <v>43869</v>
      </c>
      <c r="H40" s="8">
        <f t="shared" si="0"/>
        <v>43869</v>
      </c>
      <c r="I40" t="s">
        <v>35</v>
      </c>
    </row>
    <row r="41" spans="6:13">
      <c r="F41">
        <v>40</v>
      </c>
      <c r="G41" s="2">
        <f t="shared" si="1"/>
        <v>43870</v>
      </c>
      <c r="H41" s="8">
        <f t="shared" si="0"/>
        <v>43870</v>
      </c>
      <c r="I41" t="s">
        <v>35</v>
      </c>
      <c r="J41" t="s">
        <v>34</v>
      </c>
      <c r="K41" t="s">
        <v>35</v>
      </c>
    </row>
    <row r="42" spans="6:13">
      <c r="F42">
        <v>41</v>
      </c>
      <c r="G42" s="2">
        <f t="shared" si="1"/>
        <v>43871</v>
      </c>
      <c r="H42" s="8">
        <f t="shared" si="0"/>
        <v>43871</v>
      </c>
      <c r="I42" t="s">
        <v>35</v>
      </c>
      <c r="J42" t="s">
        <v>34</v>
      </c>
      <c r="K42" t="s">
        <v>35</v>
      </c>
    </row>
    <row r="43" spans="6:13">
      <c r="F43">
        <v>42</v>
      </c>
      <c r="G43" s="2">
        <f t="shared" si="1"/>
        <v>43872</v>
      </c>
      <c r="H43" s="8">
        <f t="shared" si="0"/>
        <v>43872</v>
      </c>
      <c r="I43" t="s">
        <v>35</v>
      </c>
      <c r="J43" t="s">
        <v>34</v>
      </c>
      <c r="K43" t="s">
        <v>35</v>
      </c>
      <c r="L43" t="s">
        <v>37</v>
      </c>
    </row>
    <row r="44" spans="6:13">
      <c r="F44">
        <v>43</v>
      </c>
      <c r="G44" s="2">
        <f t="shared" si="1"/>
        <v>43873</v>
      </c>
      <c r="H44" s="8">
        <f t="shared" si="0"/>
        <v>43873</v>
      </c>
      <c r="I44" t="s">
        <v>35</v>
      </c>
      <c r="K44" t="s">
        <v>35</v>
      </c>
    </row>
    <row r="45" spans="6:13">
      <c r="F45">
        <v>44</v>
      </c>
      <c r="G45" s="2">
        <f t="shared" si="1"/>
        <v>43874</v>
      </c>
      <c r="H45" s="8">
        <f t="shared" si="0"/>
        <v>43874</v>
      </c>
      <c r="I45" t="s">
        <v>35</v>
      </c>
      <c r="K45" t="s">
        <v>35</v>
      </c>
    </row>
    <row r="46" spans="6:13">
      <c r="F46">
        <v>45</v>
      </c>
      <c r="G46" s="2">
        <f t="shared" si="1"/>
        <v>43875</v>
      </c>
      <c r="H46" s="8">
        <f t="shared" si="0"/>
        <v>43875</v>
      </c>
    </row>
    <row r="47" spans="6:13">
      <c r="F47">
        <v>46</v>
      </c>
      <c r="G47" s="2">
        <f t="shared" si="1"/>
        <v>43876</v>
      </c>
      <c r="H47" s="8">
        <f t="shared" si="0"/>
        <v>43876</v>
      </c>
      <c r="I47" t="s">
        <v>36</v>
      </c>
    </row>
    <row r="48" spans="6:13">
      <c r="F48">
        <v>47</v>
      </c>
      <c r="G48" s="2">
        <f t="shared" si="1"/>
        <v>43877</v>
      </c>
      <c r="H48" s="8">
        <f t="shared" si="0"/>
        <v>43877</v>
      </c>
    </row>
    <row r="49" spans="6:13">
      <c r="F49">
        <v>48</v>
      </c>
      <c r="G49" s="2">
        <f t="shared" si="1"/>
        <v>43878</v>
      </c>
      <c r="H49" s="8">
        <f t="shared" si="0"/>
        <v>43878</v>
      </c>
      <c r="I49" t="s">
        <v>35</v>
      </c>
    </row>
    <row r="50" spans="6:13">
      <c r="F50">
        <v>49</v>
      </c>
      <c r="G50" s="2">
        <f t="shared" si="1"/>
        <v>43879</v>
      </c>
      <c r="H50" s="8">
        <f t="shared" si="0"/>
        <v>43879</v>
      </c>
    </row>
    <row r="51" spans="6:13">
      <c r="F51">
        <v>50</v>
      </c>
      <c r="G51" s="2">
        <f t="shared" si="1"/>
        <v>43880</v>
      </c>
      <c r="H51" s="8">
        <f t="shared" si="0"/>
        <v>43880</v>
      </c>
      <c r="I51" t="s">
        <v>34</v>
      </c>
      <c r="J51" t="s">
        <v>34</v>
      </c>
    </row>
    <row r="52" spans="6:13">
      <c r="F52">
        <v>51</v>
      </c>
      <c r="G52" s="2">
        <f t="shared" si="1"/>
        <v>43881</v>
      </c>
      <c r="H52" s="8">
        <f t="shared" si="0"/>
        <v>43881</v>
      </c>
    </row>
    <row r="53" spans="6:13">
      <c r="F53">
        <v>52</v>
      </c>
      <c r="G53" s="2">
        <f t="shared" si="1"/>
        <v>43882</v>
      </c>
      <c r="H53" s="8">
        <f t="shared" si="0"/>
        <v>43882</v>
      </c>
      <c r="I53" t="s">
        <v>37</v>
      </c>
      <c r="J53" t="s">
        <v>37</v>
      </c>
      <c r="K53" t="s">
        <v>37</v>
      </c>
      <c r="L53" t="s">
        <v>37</v>
      </c>
    </row>
    <row r="54" spans="6:13">
      <c r="F54">
        <v>53</v>
      </c>
      <c r="G54" s="2">
        <f t="shared" si="1"/>
        <v>43883</v>
      </c>
      <c r="H54" s="8">
        <f t="shared" si="0"/>
        <v>43883</v>
      </c>
    </row>
    <row r="55" spans="6:13">
      <c r="F55">
        <v>54</v>
      </c>
      <c r="G55" s="2">
        <f t="shared" si="1"/>
        <v>43884</v>
      </c>
      <c r="H55" s="8">
        <f t="shared" si="0"/>
        <v>43884</v>
      </c>
      <c r="I55" t="s">
        <v>35</v>
      </c>
      <c r="J55" t="s">
        <v>35</v>
      </c>
      <c r="K55" t="s">
        <v>35</v>
      </c>
    </row>
    <row r="56" spans="6:13">
      <c r="F56">
        <v>55</v>
      </c>
      <c r="G56" s="2">
        <f t="shared" si="1"/>
        <v>43885</v>
      </c>
      <c r="H56" s="8">
        <f t="shared" si="0"/>
        <v>43885</v>
      </c>
      <c r="I56" t="s">
        <v>32</v>
      </c>
      <c r="J56" t="s">
        <v>33</v>
      </c>
      <c r="K56" t="s">
        <v>38</v>
      </c>
      <c r="L56" t="s">
        <v>39</v>
      </c>
      <c r="M56" t="s">
        <v>40</v>
      </c>
    </row>
    <row r="57" spans="6:13">
      <c r="F57">
        <v>56</v>
      </c>
      <c r="G57" s="2">
        <f t="shared" si="1"/>
        <v>43886</v>
      </c>
      <c r="H57" s="8">
        <f t="shared" si="0"/>
        <v>43886</v>
      </c>
      <c r="I57" t="s">
        <v>35</v>
      </c>
    </row>
    <row r="58" spans="6:13">
      <c r="F58">
        <v>57</v>
      </c>
      <c r="G58" s="2">
        <f t="shared" si="1"/>
        <v>43887</v>
      </c>
      <c r="H58" s="8">
        <f t="shared" si="0"/>
        <v>43887</v>
      </c>
      <c r="I58" t="s">
        <v>35</v>
      </c>
    </row>
    <row r="59" spans="6:13">
      <c r="F59">
        <v>58</v>
      </c>
      <c r="G59" s="2">
        <f t="shared" si="1"/>
        <v>43888</v>
      </c>
      <c r="H59" s="8">
        <f t="shared" si="0"/>
        <v>43888</v>
      </c>
      <c r="I59" t="s">
        <v>35</v>
      </c>
      <c r="J59" t="s">
        <v>34</v>
      </c>
      <c r="K59" t="s">
        <v>35</v>
      </c>
    </row>
    <row r="60" spans="6:13">
      <c r="F60">
        <v>59</v>
      </c>
      <c r="G60" s="2">
        <f t="shared" si="1"/>
        <v>43889</v>
      </c>
      <c r="H60" s="8">
        <f t="shared" si="0"/>
        <v>43889</v>
      </c>
      <c r="I60" t="s">
        <v>35</v>
      </c>
      <c r="J60" t="s">
        <v>34</v>
      </c>
      <c r="K60" t="s">
        <v>35</v>
      </c>
    </row>
    <row r="61" spans="6:13">
      <c r="F61">
        <v>60</v>
      </c>
      <c r="G61" s="2">
        <f t="shared" si="1"/>
        <v>43890</v>
      </c>
      <c r="H61" s="8">
        <f t="shared" si="0"/>
        <v>43890</v>
      </c>
      <c r="I61" t="s">
        <v>35</v>
      </c>
      <c r="J61" t="s">
        <v>34</v>
      </c>
      <c r="K61" t="s">
        <v>35</v>
      </c>
      <c r="L61" t="s">
        <v>37</v>
      </c>
    </row>
    <row r="62" spans="6:13">
      <c r="F62">
        <v>61</v>
      </c>
      <c r="G62" s="2">
        <f t="shared" si="1"/>
        <v>43891</v>
      </c>
      <c r="H62" s="8">
        <f t="shared" si="0"/>
        <v>43891</v>
      </c>
      <c r="I62" t="s">
        <v>35</v>
      </c>
      <c r="K62" t="s">
        <v>35</v>
      </c>
    </row>
    <row r="63" spans="6:13">
      <c r="F63">
        <v>62</v>
      </c>
      <c r="G63" s="2">
        <f t="shared" si="1"/>
        <v>43892</v>
      </c>
      <c r="H63" s="8">
        <f t="shared" si="0"/>
        <v>43892</v>
      </c>
      <c r="I63" t="s">
        <v>35</v>
      </c>
      <c r="K63" t="s">
        <v>35</v>
      </c>
    </row>
    <row r="64" spans="6:13">
      <c r="F64">
        <v>63</v>
      </c>
      <c r="G64" s="2">
        <f t="shared" si="1"/>
        <v>43893</v>
      </c>
      <c r="H64" s="8">
        <f t="shared" si="0"/>
        <v>43893</v>
      </c>
    </row>
    <row r="65" spans="6:13">
      <c r="F65">
        <v>64</v>
      </c>
      <c r="G65" s="2">
        <f t="shared" si="1"/>
        <v>43894</v>
      </c>
      <c r="H65" s="8">
        <f t="shared" si="0"/>
        <v>43894</v>
      </c>
      <c r="I65" t="s">
        <v>36</v>
      </c>
    </row>
    <row r="66" spans="6:13">
      <c r="F66">
        <v>65</v>
      </c>
      <c r="G66" s="2">
        <f t="shared" si="1"/>
        <v>43895</v>
      </c>
      <c r="H66" s="8">
        <f t="shared" si="0"/>
        <v>43895</v>
      </c>
    </row>
    <row r="67" spans="6:13">
      <c r="F67">
        <v>66</v>
      </c>
      <c r="G67" s="2">
        <f t="shared" si="1"/>
        <v>43896</v>
      </c>
      <c r="H67" s="8">
        <f t="shared" ref="H67:H130" si="2">G67</f>
        <v>43896</v>
      </c>
      <c r="I67" t="s">
        <v>35</v>
      </c>
    </row>
    <row r="68" spans="6:13">
      <c r="F68">
        <v>67</v>
      </c>
      <c r="G68" s="2">
        <f t="shared" ref="G68:G131" si="3">G67+1</f>
        <v>43897</v>
      </c>
      <c r="H68" s="8">
        <f t="shared" si="2"/>
        <v>43897</v>
      </c>
    </row>
    <row r="69" spans="6:13">
      <c r="F69">
        <v>68</v>
      </c>
      <c r="G69" s="2">
        <f t="shared" si="3"/>
        <v>43898</v>
      </c>
      <c r="H69" s="8">
        <f t="shared" si="2"/>
        <v>43898</v>
      </c>
      <c r="I69" t="s">
        <v>34</v>
      </c>
      <c r="J69" t="s">
        <v>34</v>
      </c>
    </row>
    <row r="70" spans="6:13">
      <c r="F70">
        <v>69</v>
      </c>
      <c r="G70" s="2">
        <f t="shared" si="3"/>
        <v>43899</v>
      </c>
      <c r="H70" s="8">
        <f t="shared" si="2"/>
        <v>43899</v>
      </c>
    </row>
    <row r="71" spans="6:13">
      <c r="F71">
        <v>70</v>
      </c>
      <c r="G71" s="2">
        <f t="shared" si="3"/>
        <v>43900</v>
      </c>
      <c r="H71" s="8">
        <f t="shared" si="2"/>
        <v>43900</v>
      </c>
      <c r="I71" t="s">
        <v>37</v>
      </c>
      <c r="J71" t="s">
        <v>37</v>
      </c>
      <c r="K71" t="s">
        <v>37</v>
      </c>
      <c r="L71" t="s">
        <v>37</v>
      </c>
    </row>
    <row r="72" spans="6:13">
      <c r="F72">
        <v>71</v>
      </c>
      <c r="G72" s="2">
        <f t="shared" si="3"/>
        <v>43901</v>
      </c>
      <c r="H72" s="8">
        <f t="shared" si="2"/>
        <v>43901</v>
      </c>
    </row>
    <row r="73" spans="6:13">
      <c r="F73">
        <v>72</v>
      </c>
      <c r="G73" s="2">
        <f t="shared" si="3"/>
        <v>43902</v>
      </c>
      <c r="H73" s="8">
        <f t="shared" si="2"/>
        <v>43902</v>
      </c>
      <c r="I73" t="s">
        <v>35</v>
      </c>
      <c r="J73" t="s">
        <v>35</v>
      </c>
      <c r="K73" t="s">
        <v>35</v>
      </c>
    </row>
    <row r="74" spans="6:13">
      <c r="F74">
        <v>73</v>
      </c>
      <c r="G74" s="2">
        <f t="shared" si="3"/>
        <v>43903</v>
      </c>
      <c r="H74" s="8">
        <f t="shared" si="2"/>
        <v>43903</v>
      </c>
      <c r="I74" t="s">
        <v>32</v>
      </c>
      <c r="J74" t="s">
        <v>33</v>
      </c>
      <c r="K74" t="s">
        <v>38</v>
      </c>
      <c r="L74" t="s">
        <v>39</v>
      </c>
      <c r="M74" t="s">
        <v>40</v>
      </c>
    </row>
    <row r="75" spans="6:13">
      <c r="F75">
        <v>74</v>
      </c>
      <c r="G75" s="2">
        <f t="shared" si="3"/>
        <v>43904</v>
      </c>
      <c r="H75" s="8">
        <f t="shared" si="2"/>
        <v>43904</v>
      </c>
      <c r="I75" t="s">
        <v>35</v>
      </c>
    </row>
    <row r="76" spans="6:13">
      <c r="F76">
        <v>75</v>
      </c>
      <c r="G76" s="2">
        <f t="shared" si="3"/>
        <v>43905</v>
      </c>
      <c r="H76" s="8">
        <f t="shared" si="2"/>
        <v>43905</v>
      </c>
      <c r="I76" t="s">
        <v>35</v>
      </c>
    </row>
    <row r="77" spans="6:13">
      <c r="F77">
        <v>76</v>
      </c>
      <c r="G77" s="2">
        <f t="shared" si="3"/>
        <v>43906</v>
      </c>
      <c r="H77" s="8">
        <f t="shared" si="2"/>
        <v>43906</v>
      </c>
      <c r="I77" t="s">
        <v>35</v>
      </c>
      <c r="J77" t="s">
        <v>34</v>
      </c>
      <c r="K77" t="s">
        <v>35</v>
      </c>
    </row>
    <row r="78" spans="6:13">
      <c r="F78">
        <v>77</v>
      </c>
      <c r="G78" s="2">
        <f t="shared" si="3"/>
        <v>43907</v>
      </c>
      <c r="H78" s="8">
        <f t="shared" si="2"/>
        <v>43907</v>
      </c>
      <c r="I78" t="s">
        <v>35</v>
      </c>
      <c r="J78" t="s">
        <v>34</v>
      </c>
      <c r="K78" t="s">
        <v>35</v>
      </c>
    </row>
    <row r="79" spans="6:13">
      <c r="F79">
        <v>78</v>
      </c>
      <c r="G79" s="2">
        <f t="shared" si="3"/>
        <v>43908</v>
      </c>
      <c r="H79" s="8">
        <f t="shared" si="2"/>
        <v>43908</v>
      </c>
      <c r="I79" t="s">
        <v>35</v>
      </c>
      <c r="J79" t="s">
        <v>34</v>
      </c>
      <c r="K79" t="s">
        <v>35</v>
      </c>
      <c r="L79" t="s">
        <v>37</v>
      </c>
    </row>
    <row r="80" spans="6:13">
      <c r="F80">
        <v>79</v>
      </c>
      <c r="G80" s="2">
        <f t="shared" si="3"/>
        <v>43909</v>
      </c>
      <c r="H80" s="8">
        <f t="shared" si="2"/>
        <v>43909</v>
      </c>
      <c r="I80" t="s">
        <v>35</v>
      </c>
      <c r="K80" t="s">
        <v>35</v>
      </c>
    </row>
    <row r="81" spans="6:13">
      <c r="F81">
        <v>80</v>
      </c>
      <c r="G81" s="2">
        <f t="shared" si="3"/>
        <v>43910</v>
      </c>
      <c r="H81" s="8">
        <f t="shared" si="2"/>
        <v>43910</v>
      </c>
      <c r="I81" t="s">
        <v>35</v>
      </c>
      <c r="K81" t="s">
        <v>35</v>
      </c>
    </row>
    <row r="82" spans="6:13">
      <c r="F82">
        <v>81</v>
      </c>
      <c r="G82" s="2">
        <f t="shared" si="3"/>
        <v>43911</v>
      </c>
      <c r="H82" s="8">
        <f t="shared" si="2"/>
        <v>43911</v>
      </c>
    </row>
    <row r="83" spans="6:13">
      <c r="F83">
        <v>82</v>
      </c>
      <c r="G83" s="2">
        <f t="shared" si="3"/>
        <v>43912</v>
      </c>
      <c r="H83" s="8">
        <f t="shared" si="2"/>
        <v>43912</v>
      </c>
      <c r="I83" t="s">
        <v>36</v>
      </c>
    </row>
    <row r="84" spans="6:13">
      <c r="F84">
        <v>83</v>
      </c>
      <c r="G84" s="2">
        <f t="shared" si="3"/>
        <v>43913</v>
      </c>
      <c r="H84" s="8">
        <f t="shared" si="2"/>
        <v>43913</v>
      </c>
    </row>
    <row r="85" spans="6:13">
      <c r="F85">
        <v>84</v>
      </c>
      <c r="G85" s="2">
        <f t="shared" si="3"/>
        <v>43914</v>
      </c>
      <c r="H85" s="8">
        <f t="shared" si="2"/>
        <v>43914</v>
      </c>
      <c r="I85" t="s">
        <v>35</v>
      </c>
    </row>
    <row r="86" spans="6:13">
      <c r="F86">
        <v>85</v>
      </c>
      <c r="G86" s="2">
        <f t="shared" si="3"/>
        <v>43915</v>
      </c>
      <c r="H86" s="8">
        <f t="shared" si="2"/>
        <v>43915</v>
      </c>
    </row>
    <row r="87" spans="6:13">
      <c r="F87">
        <v>86</v>
      </c>
      <c r="G87" s="2">
        <f t="shared" si="3"/>
        <v>43916</v>
      </c>
      <c r="H87" s="8">
        <f t="shared" si="2"/>
        <v>43916</v>
      </c>
      <c r="I87" t="s">
        <v>34</v>
      </c>
      <c r="J87" t="s">
        <v>34</v>
      </c>
    </row>
    <row r="88" spans="6:13">
      <c r="F88">
        <v>87</v>
      </c>
      <c r="G88" s="2">
        <f t="shared" si="3"/>
        <v>43917</v>
      </c>
      <c r="H88" s="8">
        <f t="shared" si="2"/>
        <v>43917</v>
      </c>
    </row>
    <row r="89" spans="6:13">
      <c r="F89">
        <v>88</v>
      </c>
      <c r="G89" s="2">
        <f t="shared" si="3"/>
        <v>43918</v>
      </c>
      <c r="H89" s="8">
        <f t="shared" si="2"/>
        <v>43918</v>
      </c>
      <c r="I89" t="s">
        <v>37</v>
      </c>
      <c r="J89" t="s">
        <v>37</v>
      </c>
      <c r="K89" t="s">
        <v>37</v>
      </c>
      <c r="L89" t="s">
        <v>37</v>
      </c>
    </row>
    <row r="90" spans="6:13">
      <c r="F90">
        <v>89</v>
      </c>
      <c r="G90" s="2">
        <f t="shared" si="3"/>
        <v>43919</v>
      </c>
      <c r="H90" s="8">
        <f t="shared" si="2"/>
        <v>43919</v>
      </c>
    </row>
    <row r="91" spans="6:13">
      <c r="F91">
        <v>90</v>
      </c>
      <c r="G91" s="2">
        <f t="shared" si="3"/>
        <v>43920</v>
      </c>
      <c r="H91" s="8">
        <f t="shared" si="2"/>
        <v>43920</v>
      </c>
      <c r="I91" t="s">
        <v>35</v>
      </c>
      <c r="J91" t="s">
        <v>35</v>
      </c>
      <c r="K91" t="s">
        <v>35</v>
      </c>
    </row>
    <row r="92" spans="6:13">
      <c r="F92">
        <v>91</v>
      </c>
      <c r="G92" s="2">
        <f t="shared" si="3"/>
        <v>43921</v>
      </c>
      <c r="H92" s="8">
        <f t="shared" si="2"/>
        <v>43921</v>
      </c>
      <c r="I92" t="s">
        <v>32</v>
      </c>
      <c r="J92" t="s">
        <v>33</v>
      </c>
      <c r="K92" t="s">
        <v>38</v>
      </c>
      <c r="L92" t="s">
        <v>39</v>
      </c>
      <c r="M92" t="s">
        <v>40</v>
      </c>
    </row>
    <row r="93" spans="6:13">
      <c r="F93">
        <v>92</v>
      </c>
      <c r="G93" s="2">
        <f t="shared" si="3"/>
        <v>43922</v>
      </c>
      <c r="H93" s="8">
        <f t="shared" si="2"/>
        <v>43922</v>
      </c>
      <c r="I93" t="s">
        <v>35</v>
      </c>
    </row>
    <row r="94" spans="6:13">
      <c r="F94">
        <v>93</v>
      </c>
      <c r="G94" s="2">
        <f t="shared" si="3"/>
        <v>43923</v>
      </c>
      <c r="H94" s="8">
        <f t="shared" si="2"/>
        <v>43923</v>
      </c>
      <c r="I94" t="s">
        <v>35</v>
      </c>
    </row>
    <row r="95" spans="6:13">
      <c r="F95">
        <v>94</v>
      </c>
      <c r="G95" s="2">
        <f t="shared" si="3"/>
        <v>43924</v>
      </c>
      <c r="H95" s="8">
        <f t="shared" si="2"/>
        <v>43924</v>
      </c>
      <c r="I95" t="s">
        <v>35</v>
      </c>
      <c r="J95" t="s">
        <v>34</v>
      </c>
      <c r="K95" t="s">
        <v>35</v>
      </c>
    </row>
    <row r="96" spans="6:13">
      <c r="F96">
        <v>95</v>
      </c>
      <c r="G96" s="2">
        <f t="shared" si="3"/>
        <v>43925</v>
      </c>
      <c r="H96" s="8">
        <f t="shared" si="2"/>
        <v>43925</v>
      </c>
      <c r="I96" t="s">
        <v>35</v>
      </c>
      <c r="J96" t="s">
        <v>34</v>
      </c>
      <c r="K96" t="s">
        <v>35</v>
      </c>
    </row>
    <row r="97" spans="6:13">
      <c r="F97">
        <v>96</v>
      </c>
      <c r="G97" s="2">
        <f t="shared" si="3"/>
        <v>43926</v>
      </c>
      <c r="H97" s="8">
        <f t="shared" si="2"/>
        <v>43926</v>
      </c>
      <c r="I97" t="s">
        <v>35</v>
      </c>
      <c r="J97" t="s">
        <v>34</v>
      </c>
      <c r="K97" t="s">
        <v>35</v>
      </c>
      <c r="L97" t="s">
        <v>37</v>
      </c>
    </row>
    <row r="98" spans="6:13">
      <c r="F98">
        <v>97</v>
      </c>
      <c r="G98" s="2">
        <f t="shared" si="3"/>
        <v>43927</v>
      </c>
      <c r="H98" s="8">
        <f t="shared" si="2"/>
        <v>43927</v>
      </c>
      <c r="I98" t="s">
        <v>35</v>
      </c>
      <c r="K98" t="s">
        <v>35</v>
      </c>
    </row>
    <row r="99" spans="6:13">
      <c r="F99">
        <v>98</v>
      </c>
      <c r="G99" s="2">
        <f t="shared" si="3"/>
        <v>43928</v>
      </c>
      <c r="H99" s="8">
        <f t="shared" si="2"/>
        <v>43928</v>
      </c>
      <c r="I99" t="s">
        <v>35</v>
      </c>
      <c r="K99" t="s">
        <v>35</v>
      </c>
    </row>
    <row r="100" spans="6:13">
      <c r="F100">
        <v>99</v>
      </c>
      <c r="G100" s="2">
        <f t="shared" si="3"/>
        <v>43929</v>
      </c>
      <c r="H100" s="8">
        <f t="shared" si="2"/>
        <v>43929</v>
      </c>
    </row>
    <row r="101" spans="6:13">
      <c r="F101">
        <v>100</v>
      </c>
      <c r="G101" s="2">
        <f t="shared" si="3"/>
        <v>43930</v>
      </c>
      <c r="H101" s="8">
        <f t="shared" si="2"/>
        <v>43930</v>
      </c>
      <c r="I101" t="s">
        <v>36</v>
      </c>
    </row>
    <row r="102" spans="6:13">
      <c r="F102">
        <v>101</v>
      </c>
      <c r="G102" s="2">
        <f t="shared" si="3"/>
        <v>43931</v>
      </c>
      <c r="H102" s="8">
        <f t="shared" si="2"/>
        <v>43931</v>
      </c>
    </row>
    <row r="103" spans="6:13">
      <c r="F103">
        <v>102</v>
      </c>
      <c r="G103" s="2">
        <f t="shared" si="3"/>
        <v>43932</v>
      </c>
      <c r="H103" s="8">
        <f t="shared" si="2"/>
        <v>43932</v>
      </c>
      <c r="I103" t="s">
        <v>35</v>
      </c>
    </row>
    <row r="104" spans="6:13">
      <c r="F104">
        <v>103</v>
      </c>
      <c r="G104" s="2">
        <f t="shared" si="3"/>
        <v>43933</v>
      </c>
      <c r="H104" s="8">
        <f t="shared" si="2"/>
        <v>43933</v>
      </c>
    </row>
    <row r="105" spans="6:13">
      <c r="F105">
        <v>104</v>
      </c>
      <c r="G105" s="2">
        <f t="shared" si="3"/>
        <v>43934</v>
      </c>
      <c r="H105" s="8">
        <f t="shared" si="2"/>
        <v>43934</v>
      </c>
      <c r="I105" t="s">
        <v>34</v>
      </c>
      <c r="J105" t="s">
        <v>34</v>
      </c>
    </row>
    <row r="106" spans="6:13">
      <c r="F106">
        <v>105</v>
      </c>
      <c r="G106" s="2">
        <f t="shared" si="3"/>
        <v>43935</v>
      </c>
      <c r="H106" s="8">
        <f t="shared" si="2"/>
        <v>43935</v>
      </c>
    </row>
    <row r="107" spans="6:13">
      <c r="F107">
        <v>106</v>
      </c>
      <c r="G107" s="2">
        <f t="shared" si="3"/>
        <v>43936</v>
      </c>
      <c r="H107" s="8">
        <f t="shared" si="2"/>
        <v>43936</v>
      </c>
      <c r="I107" t="s">
        <v>37</v>
      </c>
      <c r="J107" t="s">
        <v>37</v>
      </c>
      <c r="K107" t="s">
        <v>37</v>
      </c>
      <c r="L107" t="s">
        <v>37</v>
      </c>
    </row>
    <row r="108" spans="6:13">
      <c r="F108">
        <v>107</v>
      </c>
      <c r="G108" s="2">
        <f t="shared" si="3"/>
        <v>43937</v>
      </c>
      <c r="H108" s="8">
        <f t="shared" si="2"/>
        <v>43937</v>
      </c>
    </row>
    <row r="109" spans="6:13">
      <c r="F109">
        <v>108</v>
      </c>
      <c r="G109" s="2">
        <f t="shared" si="3"/>
        <v>43938</v>
      </c>
      <c r="H109" s="8">
        <f t="shared" si="2"/>
        <v>43938</v>
      </c>
      <c r="I109" t="s">
        <v>35</v>
      </c>
      <c r="J109" t="s">
        <v>35</v>
      </c>
      <c r="K109" t="s">
        <v>35</v>
      </c>
    </row>
    <row r="110" spans="6:13">
      <c r="F110">
        <v>109</v>
      </c>
      <c r="G110" s="2">
        <f t="shared" si="3"/>
        <v>43939</v>
      </c>
      <c r="H110" s="8">
        <f t="shared" si="2"/>
        <v>43939</v>
      </c>
      <c r="I110" t="s">
        <v>32</v>
      </c>
      <c r="J110" t="s">
        <v>33</v>
      </c>
      <c r="K110" t="s">
        <v>38</v>
      </c>
      <c r="L110" t="s">
        <v>39</v>
      </c>
      <c r="M110" t="s">
        <v>40</v>
      </c>
    </row>
    <row r="111" spans="6:13">
      <c r="F111">
        <v>110</v>
      </c>
      <c r="G111" s="2">
        <f t="shared" si="3"/>
        <v>43940</v>
      </c>
      <c r="H111" s="8">
        <f t="shared" si="2"/>
        <v>43940</v>
      </c>
      <c r="I111" t="s">
        <v>35</v>
      </c>
    </row>
    <row r="112" spans="6:13">
      <c r="F112">
        <v>111</v>
      </c>
      <c r="G112" s="2">
        <f t="shared" si="3"/>
        <v>43941</v>
      </c>
      <c r="H112" s="8">
        <f t="shared" si="2"/>
        <v>43941</v>
      </c>
      <c r="I112" t="s">
        <v>35</v>
      </c>
    </row>
    <row r="113" spans="6:13">
      <c r="F113">
        <v>112</v>
      </c>
      <c r="G113" s="2">
        <f t="shared" si="3"/>
        <v>43942</v>
      </c>
      <c r="H113" s="8">
        <f t="shared" si="2"/>
        <v>43942</v>
      </c>
      <c r="I113" t="s">
        <v>35</v>
      </c>
      <c r="J113" t="s">
        <v>34</v>
      </c>
      <c r="K113" t="s">
        <v>35</v>
      </c>
    </row>
    <row r="114" spans="6:13">
      <c r="F114">
        <v>113</v>
      </c>
      <c r="G114" s="2">
        <f t="shared" si="3"/>
        <v>43943</v>
      </c>
      <c r="H114" s="8">
        <f t="shared" si="2"/>
        <v>43943</v>
      </c>
      <c r="I114" t="s">
        <v>35</v>
      </c>
      <c r="J114" t="s">
        <v>34</v>
      </c>
      <c r="K114" t="s">
        <v>35</v>
      </c>
    </row>
    <row r="115" spans="6:13">
      <c r="F115">
        <v>114</v>
      </c>
      <c r="G115" s="2">
        <f t="shared" si="3"/>
        <v>43944</v>
      </c>
      <c r="H115" s="8">
        <f t="shared" si="2"/>
        <v>43944</v>
      </c>
      <c r="I115" t="s">
        <v>35</v>
      </c>
      <c r="J115" t="s">
        <v>34</v>
      </c>
      <c r="K115" t="s">
        <v>35</v>
      </c>
      <c r="L115" t="s">
        <v>37</v>
      </c>
    </row>
    <row r="116" spans="6:13">
      <c r="F116">
        <v>115</v>
      </c>
      <c r="G116" s="2">
        <f t="shared" si="3"/>
        <v>43945</v>
      </c>
      <c r="H116" s="8">
        <f t="shared" si="2"/>
        <v>43945</v>
      </c>
      <c r="I116" t="s">
        <v>35</v>
      </c>
      <c r="K116" t="s">
        <v>35</v>
      </c>
    </row>
    <row r="117" spans="6:13">
      <c r="F117">
        <v>116</v>
      </c>
      <c r="G117" s="2">
        <f t="shared" si="3"/>
        <v>43946</v>
      </c>
      <c r="H117" s="8">
        <f t="shared" si="2"/>
        <v>43946</v>
      </c>
      <c r="I117" t="s">
        <v>35</v>
      </c>
      <c r="K117" t="s">
        <v>35</v>
      </c>
    </row>
    <row r="118" spans="6:13">
      <c r="F118">
        <v>117</v>
      </c>
      <c r="G118" s="2">
        <f t="shared" si="3"/>
        <v>43947</v>
      </c>
      <c r="H118" s="8">
        <f t="shared" si="2"/>
        <v>43947</v>
      </c>
    </row>
    <row r="119" spans="6:13">
      <c r="F119">
        <v>118</v>
      </c>
      <c r="G119" s="2">
        <f t="shared" si="3"/>
        <v>43948</v>
      </c>
      <c r="H119" s="8">
        <f t="shared" si="2"/>
        <v>43948</v>
      </c>
      <c r="I119" t="s">
        <v>36</v>
      </c>
    </row>
    <row r="120" spans="6:13">
      <c r="F120">
        <v>119</v>
      </c>
      <c r="G120" s="2">
        <f t="shared" si="3"/>
        <v>43949</v>
      </c>
      <c r="H120" s="8">
        <f t="shared" si="2"/>
        <v>43949</v>
      </c>
    </row>
    <row r="121" spans="6:13">
      <c r="F121">
        <v>120</v>
      </c>
      <c r="G121" s="2">
        <f t="shared" si="3"/>
        <v>43950</v>
      </c>
      <c r="H121" s="8">
        <f t="shared" si="2"/>
        <v>43950</v>
      </c>
      <c r="I121" t="s">
        <v>35</v>
      </c>
    </row>
    <row r="122" spans="6:13">
      <c r="F122">
        <v>121</v>
      </c>
      <c r="G122" s="2">
        <f t="shared" si="3"/>
        <v>43951</v>
      </c>
      <c r="H122" s="8">
        <f t="shared" si="2"/>
        <v>43951</v>
      </c>
    </row>
    <row r="123" spans="6:13">
      <c r="F123">
        <v>122</v>
      </c>
      <c r="G123" s="2">
        <f t="shared" si="3"/>
        <v>43952</v>
      </c>
      <c r="H123" s="8">
        <f t="shared" si="2"/>
        <v>43952</v>
      </c>
      <c r="I123" t="s">
        <v>34</v>
      </c>
      <c r="J123" t="s">
        <v>34</v>
      </c>
    </row>
    <row r="124" spans="6:13">
      <c r="F124">
        <v>123</v>
      </c>
      <c r="G124" s="2">
        <f t="shared" si="3"/>
        <v>43953</v>
      </c>
      <c r="H124" s="8">
        <f t="shared" si="2"/>
        <v>43953</v>
      </c>
    </row>
    <row r="125" spans="6:13">
      <c r="F125">
        <v>124</v>
      </c>
      <c r="G125" s="2">
        <f t="shared" si="3"/>
        <v>43954</v>
      </c>
      <c r="H125" s="8">
        <f t="shared" si="2"/>
        <v>43954</v>
      </c>
      <c r="I125" t="s">
        <v>37</v>
      </c>
      <c r="J125" t="s">
        <v>37</v>
      </c>
      <c r="K125" t="s">
        <v>37</v>
      </c>
      <c r="L125" t="s">
        <v>37</v>
      </c>
    </row>
    <row r="126" spans="6:13">
      <c r="F126">
        <v>125</v>
      </c>
      <c r="G126" s="2">
        <f t="shared" si="3"/>
        <v>43955</v>
      </c>
      <c r="H126" s="8">
        <f t="shared" si="2"/>
        <v>43955</v>
      </c>
    </row>
    <row r="127" spans="6:13">
      <c r="F127">
        <v>126</v>
      </c>
      <c r="G127" s="2">
        <f t="shared" si="3"/>
        <v>43956</v>
      </c>
      <c r="H127" s="8">
        <f t="shared" si="2"/>
        <v>43956</v>
      </c>
      <c r="I127" t="s">
        <v>35</v>
      </c>
      <c r="J127" t="s">
        <v>35</v>
      </c>
      <c r="K127" t="s">
        <v>35</v>
      </c>
    </row>
    <row r="128" spans="6:13">
      <c r="F128">
        <v>127</v>
      </c>
      <c r="G128" s="2">
        <f t="shared" si="3"/>
        <v>43957</v>
      </c>
      <c r="H128" s="8">
        <f t="shared" si="2"/>
        <v>43957</v>
      </c>
      <c r="I128" t="s">
        <v>32</v>
      </c>
      <c r="J128" t="s">
        <v>33</v>
      </c>
      <c r="K128" t="s">
        <v>38</v>
      </c>
      <c r="L128" t="s">
        <v>39</v>
      </c>
      <c r="M128" t="s">
        <v>40</v>
      </c>
    </row>
    <row r="129" spans="6:12">
      <c r="F129">
        <v>128</v>
      </c>
      <c r="G129" s="2">
        <f t="shared" si="3"/>
        <v>43958</v>
      </c>
      <c r="H129" s="8">
        <f t="shared" si="2"/>
        <v>43958</v>
      </c>
      <c r="I129" t="s">
        <v>35</v>
      </c>
    </row>
    <row r="130" spans="6:12">
      <c r="F130">
        <v>129</v>
      </c>
      <c r="G130" s="2">
        <f t="shared" si="3"/>
        <v>43959</v>
      </c>
      <c r="H130" s="8">
        <f t="shared" si="2"/>
        <v>43959</v>
      </c>
      <c r="I130" t="s">
        <v>35</v>
      </c>
    </row>
    <row r="131" spans="6:12">
      <c r="F131">
        <v>130</v>
      </c>
      <c r="G131" s="2">
        <f t="shared" si="3"/>
        <v>43960</v>
      </c>
      <c r="H131" s="8">
        <f t="shared" ref="H131:H194" si="4">G131</f>
        <v>43960</v>
      </c>
      <c r="I131" t="s">
        <v>35</v>
      </c>
      <c r="J131" t="s">
        <v>34</v>
      </c>
      <c r="K131" t="s">
        <v>35</v>
      </c>
    </row>
    <row r="132" spans="6:12">
      <c r="F132">
        <v>131</v>
      </c>
      <c r="G132" s="2">
        <f t="shared" ref="G132:G195" si="5">G131+1</f>
        <v>43961</v>
      </c>
      <c r="H132" s="8">
        <f t="shared" si="4"/>
        <v>43961</v>
      </c>
      <c r="I132" t="s">
        <v>35</v>
      </c>
      <c r="J132" t="s">
        <v>34</v>
      </c>
      <c r="K132" t="s">
        <v>35</v>
      </c>
    </row>
    <row r="133" spans="6:12">
      <c r="F133">
        <v>132</v>
      </c>
      <c r="G133" s="2">
        <f t="shared" si="5"/>
        <v>43962</v>
      </c>
      <c r="H133" s="8">
        <f t="shared" si="4"/>
        <v>43962</v>
      </c>
      <c r="I133" t="s">
        <v>35</v>
      </c>
      <c r="J133" t="s">
        <v>34</v>
      </c>
      <c r="K133" t="s">
        <v>35</v>
      </c>
      <c r="L133" t="s">
        <v>37</v>
      </c>
    </row>
    <row r="134" spans="6:12">
      <c r="F134">
        <v>133</v>
      </c>
      <c r="G134" s="2">
        <f t="shared" si="5"/>
        <v>43963</v>
      </c>
      <c r="H134" s="8">
        <f t="shared" si="4"/>
        <v>43963</v>
      </c>
      <c r="I134" t="s">
        <v>35</v>
      </c>
      <c r="K134" t="s">
        <v>35</v>
      </c>
    </row>
    <row r="135" spans="6:12">
      <c r="F135">
        <v>134</v>
      </c>
      <c r="G135" s="2">
        <f t="shared" si="5"/>
        <v>43964</v>
      </c>
      <c r="H135" s="8">
        <f t="shared" si="4"/>
        <v>43964</v>
      </c>
      <c r="I135" t="s">
        <v>35</v>
      </c>
      <c r="K135" t="s">
        <v>35</v>
      </c>
    </row>
    <row r="136" spans="6:12">
      <c r="F136">
        <v>135</v>
      </c>
      <c r="G136" s="2">
        <f t="shared" si="5"/>
        <v>43965</v>
      </c>
      <c r="H136" s="8">
        <f t="shared" si="4"/>
        <v>43965</v>
      </c>
    </row>
    <row r="137" spans="6:12">
      <c r="F137">
        <v>136</v>
      </c>
      <c r="G137" s="2">
        <f t="shared" si="5"/>
        <v>43966</v>
      </c>
      <c r="H137" s="8">
        <f t="shared" si="4"/>
        <v>43966</v>
      </c>
      <c r="I137" t="s">
        <v>36</v>
      </c>
    </row>
    <row r="138" spans="6:12">
      <c r="F138">
        <v>137</v>
      </c>
      <c r="G138" s="2">
        <f t="shared" si="5"/>
        <v>43967</v>
      </c>
      <c r="H138" s="8">
        <f t="shared" si="4"/>
        <v>43967</v>
      </c>
    </row>
    <row r="139" spans="6:12">
      <c r="F139">
        <v>138</v>
      </c>
      <c r="G139" s="2">
        <f t="shared" si="5"/>
        <v>43968</v>
      </c>
      <c r="H139" s="8">
        <f t="shared" si="4"/>
        <v>43968</v>
      </c>
      <c r="I139" t="s">
        <v>35</v>
      </c>
    </row>
    <row r="140" spans="6:12">
      <c r="F140">
        <v>139</v>
      </c>
      <c r="G140" s="2">
        <f t="shared" si="5"/>
        <v>43969</v>
      </c>
      <c r="H140" s="8">
        <f t="shared" si="4"/>
        <v>43969</v>
      </c>
    </row>
    <row r="141" spans="6:12">
      <c r="F141">
        <v>140</v>
      </c>
      <c r="G141" s="2">
        <f t="shared" si="5"/>
        <v>43970</v>
      </c>
      <c r="H141" s="8">
        <f t="shared" si="4"/>
        <v>43970</v>
      </c>
      <c r="I141" t="s">
        <v>34</v>
      </c>
      <c r="J141" t="s">
        <v>34</v>
      </c>
    </row>
    <row r="142" spans="6:12">
      <c r="F142">
        <v>141</v>
      </c>
      <c r="G142" s="2">
        <f t="shared" si="5"/>
        <v>43971</v>
      </c>
      <c r="H142" s="8">
        <f t="shared" si="4"/>
        <v>43971</v>
      </c>
    </row>
    <row r="143" spans="6:12">
      <c r="F143">
        <v>142</v>
      </c>
      <c r="G143" s="2">
        <f t="shared" si="5"/>
        <v>43972</v>
      </c>
      <c r="H143" s="8">
        <f t="shared" si="4"/>
        <v>43972</v>
      </c>
      <c r="I143" t="s">
        <v>37</v>
      </c>
      <c r="J143" t="s">
        <v>37</v>
      </c>
      <c r="K143" t="s">
        <v>37</v>
      </c>
      <c r="L143" t="s">
        <v>37</v>
      </c>
    </row>
    <row r="144" spans="6:12">
      <c r="F144">
        <v>143</v>
      </c>
      <c r="G144" s="2">
        <f t="shared" si="5"/>
        <v>43973</v>
      </c>
      <c r="H144" s="8">
        <f t="shared" si="4"/>
        <v>43973</v>
      </c>
    </row>
    <row r="145" spans="6:13">
      <c r="F145">
        <v>144</v>
      </c>
      <c r="G145" s="2">
        <f t="shared" si="5"/>
        <v>43974</v>
      </c>
      <c r="H145" s="8">
        <f t="shared" si="4"/>
        <v>43974</v>
      </c>
      <c r="I145" t="s">
        <v>35</v>
      </c>
      <c r="J145" t="s">
        <v>35</v>
      </c>
      <c r="K145" t="s">
        <v>35</v>
      </c>
    </row>
    <row r="146" spans="6:13">
      <c r="F146">
        <v>145</v>
      </c>
      <c r="G146" s="2">
        <f t="shared" si="5"/>
        <v>43975</v>
      </c>
      <c r="H146" s="8">
        <f t="shared" si="4"/>
        <v>43975</v>
      </c>
      <c r="I146" t="s">
        <v>32</v>
      </c>
      <c r="J146" t="s">
        <v>33</v>
      </c>
      <c r="K146" t="s">
        <v>38</v>
      </c>
      <c r="L146" t="s">
        <v>39</v>
      </c>
      <c r="M146" t="s">
        <v>40</v>
      </c>
    </row>
    <row r="147" spans="6:13">
      <c r="F147">
        <v>146</v>
      </c>
      <c r="G147" s="2">
        <f t="shared" si="5"/>
        <v>43976</v>
      </c>
      <c r="H147" s="8">
        <f t="shared" si="4"/>
        <v>43976</v>
      </c>
      <c r="I147" t="s">
        <v>35</v>
      </c>
    </row>
    <row r="148" spans="6:13">
      <c r="F148">
        <v>147</v>
      </c>
      <c r="G148" s="2">
        <f t="shared" si="5"/>
        <v>43977</v>
      </c>
      <c r="H148" s="8">
        <f t="shared" si="4"/>
        <v>43977</v>
      </c>
      <c r="I148" t="s">
        <v>35</v>
      </c>
    </row>
    <row r="149" spans="6:13">
      <c r="F149">
        <v>148</v>
      </c>
      <c r="G149" s="2">
        <f t="shared" si="5"/>
        <v>43978</v>
      </c>
      <c r="H149" s="8">
        <f t="shared" si="4"/>
        <v>43978</v>
      </c>
      <c r="I149" t="s">
        <v>35</v>
      </c>
      <c r="J149" t="s">
        <v>34</v>
      </c>
      <c r="K149" t="s">
        <v>35</v>
      </c>
    </row>
    <row r="150" spans="6:13">
      <c r="F150">
        <v>149</v>
      </c>
      <c r="G150" s="2">
        <f t="shared" si="5"/>
        <v>43979</v>
      </c>
      <c r="H150" s="8">
        <f t="shared" si="4"/>
        <v>43979</v>
      </c>
      <c r="I150" t="s">
        <v>35</v>
      </c>
      <c r="J150" t="s">
        <v>34</v>
      </c>
      <c r="K150" t="s">
        <v>35</v>
      </c>
    </row>
    <row r="151" spans="6:13">
      <c r="F151">
        <v>150</v>
      </c>
      <c r="G151" s="2">
        <f t="shared" si="5"/>
        <v>43980</v>
      </c>
      <c r="H151" s="8">
        <f t="shared" si="4"/>
        <v>43980</v>
      </c>
      <c r="I151" t="s">
        <v>35</v>
      </c>
      <c r="J151" t="s">
        <v>34</v>
      </c>
      <c r="K151" t="s">
        <v>35</v>
      </c>
      <c r="L151" t="s">
        <v>37</v>
      </c>
    </row>
    <row r="152" spans="6:13">
      <c r="F152">
        <v>151</v>
      </c>
      <c r="G152" s="2">
        <f t="shared" si="5"/>
        <v>43981</v>
      </c>
      <c r="H152" s="8">
        <f t="shared" si="4"/>
        <v>43981</v>
      </c>
      <c r="I152" t="s">
        <v>35</v>
      </c>
      <c r="K152" t="s">
        <v>35</v>
      </c>
    </row>
    <row r="153" spans="6:13">
      <c r="F153">
        <v>152</v>
      </c>
      <c r="G153" s="2">
        <f t="shared" si="5"/>
        <v>43982</v>
      </c>
      <c r="H153" s="8">
        <f t="shared" si="4"/>
        <v>43982</v>
      </c>
      <c r="I153" t="s">
        <v>35</v>
      </c>
      <c r="K153" t="s">
        <v>35</v>
      </c>
    </row>
    <row r="154" spans="6:13">
      <c r="F154">
        <v>153</v>
      </c>
      <c r="G154" s="2">
        <f t="shared" si="5"/>
        <v>43983</v>
      </c>
      <c r="H154" s="8">
        <f t="shared" si="4"/>
        <v>43983</v>
      </c>
    </row>
    <row r="155" spans="6:13">
      <c r="F155">
        <v>154</v>
      </c>
      <c r="G155" s="2">
        <f t="shared" si="5"/>
        <v>43984</v>
      </c>
      <c r="H155" s="8">
        <f t="shared" si="4"/>
        <v>43984</v>
      </c>
      <c r="I155" t="s">
        <v>36</v>
      </c>
    </row>
    <row r="156" spans="6:13">
      <c r="F156">
        <v>155</v>
      </c>
      <c r="G156" s="2">
        <f t="shared" si="5"/>
        <v>43985</v>
      </c>
      <c r="H156" s="8">
        <f t="shared" si="4"/>
        <v>43985</v>
      </c>
    </row>
    <row r="157" spans="6:13">
      <c r="F157">
        <v>156</v>
      </c>
      <c r="G157" s="2">
        <f t="shared" si="5"/>
        <v>43986</v>
      </c>
      <c r="H157" s="8">
        <f t="shared" si="4"/>
        <v>43986</v>
      </c>
      <c r="I157" t="s">
        <v>35</v>
      </c>
    </row>
    <row r="158" spans="6:13">
      <c r="F158">
        <v>157</v>
      </c>
      <c r="G158" s="2">
        <f t="shared" si="5"/>
        <v>43987</v>
      </c>
      <c r="H158" s="8">
        <f t="shared" si="4"/>
        <v>43987</v>
      </c>
    </row>
    <row r="159" spans="6:13">
      <c r="F159">
        <v>158</v>
      </c>
      <c r="G159" s="2">
        <f t="shared" si="5"/>
        <v>43988</v>
      </c>
      <c r="H159" s="8">
        <f t="shared" si="4"/>
        <v>43988</v>
      </c>
      <c r="I159" t="s">
        <v>34</v>
      </c>
      <c r="J159" t="s">
        <v>34</v>
      </c>
    </row>
    <row r="160" spans="6:13">
      <c r="F160">
        <v>159</v>
      </c>
      <c r="G160" s="2">
        <f t="shared" si="5"/>
        <v>43989</v>
      </c>
      <c r="H160" s="8">
        <f t="shared" si="4"/>
        <v>43989</v>
      </c>
    </row>
    <row r="161" spans="6:13">
      <c r="F161">
        <v>160</v>
      </c>
      <c r="G161" s="2">
        <f t="shared" si="5"/>
        <v>43990</v>
      </c>
      <c r="H161" s="8">
        <f t="shared" si="4"/>
        <v>43990</v>
      </c>
      <c r="I161" t="s">
        <v>37</v>
      </c>
      <c r="J161" t="s">
        <v>37</v>
      </c>
      <c r="K161" t="s">
        <v>37</v>
      </c>
      <c r="L161" t="s">
        <v>37</v>
      </c>
    </row>
    <row r="162" spans="6:13">
      <c r="F162">
        <v>161</v>
      </c>
      <c r="G162" s="2">
        <f t="shared" si="5"/>
        <v>43991</v>
      </c>
      <c r="H162" s="8">
        <f t="shared" si="4"/>
        <v>43991</v>
      </c>
    </row>
    <row r="163" spans="6:13">
      <c r="F163">
        <v>162</v>
      </c>
      <c r="G163" s="2">
        <f t="shared" si="5"/>
        <v>43992</v>
      </c>
      <c r="H163" s="8">
        <f t="shared" si="4"/>
        <v>43992</v>
      </c>
      <c r="I163" t="s">
        <v>35</v>
      </c>
      <c r="J163" t="s">
        <v>35</v>
      </c>
      <c r="K163" t="s">
        <v>35</v>
      </c>
    </row>
    <row r="164" spans="6:13">
      <c r="F164">
        <v>163</v>
      </c>
      <c r="G164" s="2">
        <f t="shared" si="5"/>
        <v>43993</v>
      </c>
      <c r="H164" s="8">
        <f t="shared" si="4"/>
        <v>43993</v>
      </c>
      <c r="I164" t="s">
        <v>32</v>
      </c>
      <c r="J164" t="s">
        <v>33</v>
      </c>
      <c r="K164" t="s">
        <v>38</v>
      </c>
      <c r="L164" t="s">
        <v>39</v>
      </c>
      <c r="M164" t="s">
        <v>40</v>
      </c>
    </row>
    <row r="165" spans="6:13">
      <c r="F165">
        <v>164</v>
      </c>
      <c r="G165" s="2">
        <f t="shared" si="5"/>
        <v>43994</v>
      </c>
      <c r="H165" s="8">
        <f t="shared" si="4"/>
        <v>43994</v>
      </c>
      <c r="I165" t="s">
        <v>35</v>
      </c>
    </row>
    <row r="166" spans="6:13">
      <c r="F166">
        <v>165</v>
      </c>
      <c r="G166" s="2">
        <f t="shared" si="5"/>
        <v>43995</v>
      </c>
      <c r="H166" s="8">
        <f t="shared" si="4"/>
        <v>43995</v>
      </c>
      <c r="I166" t="s">
        <v>35</v>
      </c>
    </row>
    <row r="167" spans="6:13">
      <c r="F167">
        <v>166</v>
      </c>
      <c r="G167" s="2">
        <f t="shared" si="5"/>
        <v>43996</v>
      </c>
      <c r="H167" s="8">
        <f t="shared" si="4"/>
        <v>43996</v>
      </c>
      <c r="I167" t="s">
        <v>35</v>
      </c>
      <c r="J167" t="s">
        <v>34</v>
      </c>
      <c r="K167" t="s">
        <v>35</v>
      </c>
    </row>
    <row r="168" spans="6:13">
      <c r="F168">
        <v>167</v>
      </c>
      <c r="G168" s="2">
        <f t="shared" si="5"/>
        <v>43997</v>
      </c>
      <c r="H168" s="8">
        <f t="shared" si="4"/>
        <v>43997</v>
      </c>
      <c r="I168" t="s">
        <v>35</v>
      </c>
      <c r="J168" t="s">
        <v>34</v>
      </c>
      <c r="K168" t="s">
        <v>35</v>
      </c>
    </row>
    <row r="169" spans="6:13">
      <c r="F169">
        <v>168</v>
      </c>
      <c r="G169" s="2">
        <f t="shared" si="5"/>
        <v>43998</v>
      </c>
      <c r="H169" s="8">
        <f t="shared" si="4"/>
        <v>43998</v>
      </c>
      <c r="I169" t="s">
        <v>35</v>
      </c>
      <c r="J169" t="s">
        <v>34</v>
      </c>
      <c r="K169" t="s">
        <v>35</v>
      </c>
      <c r="L169" t="s">
        <v>37</v>
      </c>
    </row>
    <row r="170" spans="6:13">
      <c r="F170">
        <v>169</v>
      </c>
      <c r="G170" s="2">
        <f t="shared" si="5"/>
        <v>43999</v>
      </c>
      <c r="H170" s="8">
        <f t="shared" si="4"/>
        <v>43999</v>
      </c>
      <c r="I170" t="s">
        <v>35</v>
      </c>
      <c r="K170" t="s">
        <v>35</v>
      </c>
    </row>
    <row r="171" spans="6:13">
      <c r="F171">
        <v>170</v>
      </c>
      <c r="G171" s="2">
        <f t="shared" si="5"/>
        <v>44000</v>
      </c>
      <c r="H171" s="8">
        <f t="shared" si="4"/>
        <v>44000</v>
      </c>
      <c r="I171" t="s">
        <v>35</v>
      </c>
      <c r="K171" t="s">
        <v>35</v>
      </c>
    </row>
    <row r="172" spans="6:13">
      <c r="F172">
        <v>171</v>
      </c>
      <c r="G172" s="2">
        <f t="shared" si="5"/>
        <v>44001</v>
      </c>
      <c r="H172" s="8">
        <f t="shared" si="4"/>
        <v>44001</v>
      </c>
    </row>
    <row r="173" spans="6:13">
      <c r="F173">
        <v>172</v>
      </c>
      <c r="G173" s="2">
        <f t="shared" si="5"/>
        <v>44002</v>
      </c>
      <c r="H173" s="8">
        <f t="shared" si="4"/>
        <v>44002</v>
      </c>
      <c r="I173" t="s">
        <v>36</v>
      </c>
    </row>
    <row r="174" spans="6:13">
      <c r="F174">
        <v>173</v>
      </c>
      <c r="G174" s="2">
        <f t="shared" si="5"/>
        <v>44003</v>
      </c>
      <c r="H174" s="8">
        <f t="shared" si="4"/>
        <v>44003</v>
      </c>
    </row>
    <row r="175" spans="6:13">
      <c r="F175">
        <v>174</v>
      </c>
      <c r="G175" s="2">
        <f t="shared" si="5"/>
        <v>44004</v>
      </c>
      <c r="H175" s="8">
        <f t="shared" si="4"/>
        <v>44004</v>
      </c>
      <c r="I175" t="s">
        <v>35</v>
      </c>
    </row>
    <row r="176" spans="6:13">
      <c r="F176">
        <v>175</v>
      </c>
      <c r="G176" s="2">
        <f t="shared" si="5"/>
        <v>44005</v>
      </c>
      <c r="H176" s="8">
        <f t="shared" si="4"/>
        <v>44005</v>
      </c>
    </row>
    <row r="177" spans="6:13">
      <c r="F177">
        <v>176</v>
      </c>
      <c r="G177" s="2">
        <f t="shared" si="5"/>
        <v>44006</v>
      </c>
      <c r="H177" s="8">
        <f t="shared" si="4"/>
        <v>44006</v>
      </c>
      <c r="I177" t="s">
        <v>34</v>
      </c>
      <c r="J177" t="s">
        <v>34</v>
      </c>
    </row>
    <row r="178" spans="6:13">
      <c r="F178">
        <v>177</v>
      </c>
      <c r="G178" s="2">
        <f t="shared" si="5"/>
        <v>44007</v>
      </c>
      <c r="H178" s="8">
        <f t="shared" si="4"/>
        <v>44007</v>
      </c>
    </row>
    <row r="179" spans="6:13">
      <c r="F179">
        <v>178</v>
      </c>
      <c r="G179" s="2">
        <f t="shared" si="5"/>
        <v>44008</v>
      </c>
      <c r="H179" s="8">
        <f t="shared" si="4"/>
        <v>44008</v>
      </c>
      <c r="I179" t="s">
        <v>37</v>
      </c>
      <c r="J179" t="s">
        <v>37</v>
      </c>
      <c r="K179" t="s">
        <v>37</v>
      </c>
      <c r="L179" t="s">
        <v>37</v>
      </c>
    </row>
    <row r="180" spans="6:13">
      <c r="F180">
        <v>179</v>
      </c>
      <c r="G180" s="2">
        <f t="shared" si="5"/>
        <v>44009</v>
      </c>
      <c r="H180" s="8">
        <f t="shared" si="4"/>
        <v>44009</v>
      </c>
    </row>
    <row r="181" spans="6:13">
      <c r="F181">
        <v>180</v>
      </c>
      <c r="G181" s="2">
        <f t="shared" si="5"/>
        <v>44010</v>
      </c>
      <c r="H181" s="8">
        <f t="shared" si="4"/>
        <v>44010</v>
      </c>
      <c r="I181" t="s">
        <v>35</v>
      </c>
      <c r="J181" t="s">
        <v>35</v>
      </c>
      <c r="K181" t="s">
        <v>35</v>
      </c>
    </row>
    <row r="182" spans="6:13">
      <c r="F182">
        <v>181</v>
      </c>
      <c r="G182" s="2">
        <f t="shared" si="5"/>
        <v>44011</v>
      </c>
      <c r="H182" s="8">
        <f t="shared" si="4"/>
        <v>44011</v>
      </c>
      <c r="I182" t="s">
        <v>32</v>
      </c>
      <c r="J182" t="s">
        <v>33</v>
      </c>
      <c r="K182" t="s">
        <v>38</v>
      </c>
      <c r="L182" t="s">
        <v>39</v>
      </c>
      <c r="M182" t="s">
        <v>40</v>
      </c>
    </row>
    <row r="183" spans="6:13">
      <c r="F183">
        <v>182</v>
      </c>
      <c r="G183" s="2">
        <f t="shared" si="5"/>
        <v>44012</v>
      </c>
      <c r="H183" s="8">
        <f t="shared" si="4"/>
        <v>44012</v>
      </c>
      <c r="I183" t="s">
        <v>35</v>
      </c>
    </row>
    <row r="184" spans="6:13">
      <c r="F184">
        <v>183</v>
      </c>
      <c r="G184" s="2">
        <f t="shared" si="5"/>
        <v>44013</v>
      </c>
      <c r="H184" s="8">
        <f t="shared" si="4"/>
        <v>44013</v>
      </c>
      <c r="I184" t="s">
        <v>35</v>
      </c>
    </row>
    <row r="185" spans="6:13">
      <c r="F185">
        <v>184</v>
      </c>
      <c r="G185" s="2">
        <f t="shared" si="5"/>
        <v>44014</v>
      </c>
      <c r="H185" s="8">
        <f t="shared" si="4"/>
        <v>44014</v>
      </c>
      <c r="I185" t="s">
        <v>35</v>
      </c>
      <c r="J185" t="s">
        <v>34</v>
      </c>
      <c r="K185" t="s">
        <v>35</v>
      </c>
    </row>
    <row r="186" spans="6:13">
      <c r="F186">
        <v>185</v>
      </c>
      <c r="G186" s="2">
        <f t="shared" si="5"/>
        <v>44015</v>
      </c>
      <c r="H186" s="8">
        <f t="shared" si="4"/>
        <v>44015</v>
      </c>
      <c r="I186" t="s">
        <v>35</v>
      </c>
      <c r="J186" t="s">
        <v>34</v>
      </c>
      <c r="K186" t="s">
        <v>35</v>
      </c>
    </row>
    <row r="187" spans="6:13">
      <c r="F187">
        <v>186</v>
      </c>
      <c r="G187" s="2">
        <f t="shared" si="5"/>
        <v>44016</v>
      </c>
      <c r="H187" s="8">
        <f t="shared" si="4"/>
        <v>44016</v>
      </c>
      <c r="I187" t="s">
        <v>35</v>
      </c>
      <c r="J187" t="s">
        <v>34</v>
      </c>
      <c r="K187" t="s">
        <v>35</v>
      </c>
      <c r="L187" t="s">
        <v>37</v>
      </c>
    </row>
    <row r="188" spans="6:13">
      <c r="F188">
        <v>187</v>
      </c>
      <c r="G188" s="2">
        <f t="shared" si="5"/>
        <v>44017</v>
      </c>
      <c r="H188" s="8">
        <f t="shared" si="4"/>
        <v>44017</v>
      </c>
      <c r="I188" t="s">
        <v>35</v>
      </c>
      <c r="K188" t="s">
        <v>35</v>
      </c>
    </row>
    <row r="189" spans="6:13">
      <c r="F189">
        <v>188</v>
      </c>
      <c r="G189" s="2">
        <f t="shared" si="5"/>
        <v>44018</v>
      </c>
      <c r="H189" s="8">
        <f t="shared" si="4"/>
        <v>44018</v>
      </c>
      <c r="I189" t="s">
        <v>35</v>
      </c>
      <c r="K189" t="s">
        <v>35</v>
      </c>
    </row>
    <row r="190" spans="6:13">
      <c r="F190">
        <v>189</v>
      </c>
      <c r="G190" s="2">
        <f t="shared" si="5"/>
        <v>44019</v>
      </c>
      <c r="H190" s="8">
        <f t="shared" si="4"/>
        <v>44019</v>
      </c>
    </row>
    <row r="191" spans="6:13">
      <c r="F191">
        <v>190</v>
      </c>
      <c r="G191" s="2">
        <f t="shared" si="5"/>
        <v>44020</v>
      </c>
      <c r="H191" s="8">
        <f t="shared" si="4"/>
        <v>44020</v>
      </c>
      <c r="I191" t="s">
        <v>36</v>
      </c>
    </row>
    <row r="192" spans="6:13">
      <c r="F192">
        <v>191</v>
      </c>
      <c r="G192" s="2">
        <f t="shared" si="5"/>
        <v>44021</v>
      </c>
      <c r="H192" s="8">
        <f t="shared" si="4"/>
        <v>44021</v>
      </c>
    </row>
    <row r="193" spans="6:13">
      <c r="F193">
        <v>192</v>
      </c>
      <c r="G193" s="2">
        <f t="shared" si="5"/>
        <v>44022</v>
      </c>
      <c r="H193" s="8">
        <f t="shared" si="4"/>
        <v>44022</v>
      </c>
      <c r="I193" t="s">
        <v>35</v>
      </c>
    </row>
    <row r="194" spans="6:13">
      <c r="F194">
        <v>193</v>
      </c>
      <c r="G194" s="2">
        <f t="shared" si="5"/>
        <v>44023</v>
      </c>
      <c r="H194" s="8">
        <f t="shared" si="4"/>
        <v>44023</v>
      </c>
    </row>
    <row r="195" spans="6:13">
      <c r="F195">
        <v>194</v>
      </c>
      <c r="G195" s="2">
        <f t="shared" si="5"/>
        <v>44024</v>
      </c>
      <c r="H195" s="8">
        <f t="shared" ref="H195:H258" si="6">G195</f>
        <v>44024</v>
      </c>
      <c r="I195" t="s">
        <v>34</v>
      </c>
      <c r="J195" t="s">
        <v>34</v>
      </c>
    </row>
    <row r="196" spans="6:13">
      <c r="F196">
        <v>195</v>
      </c>
      <c r="G196" s="2">
        <f t="shared" ref="G196:G253" si="7">G195+1</f>
        <v>44025</v>
      </c>
      <c r="H196" s="8">
        <f t="shared" si="6"/>
        <v>44025</v>
      </c>
    </row>
    <row r="197" spans="6:13">
      <c r="F197">
        <v>196</v>
      </c>
      <c r="G197" s="2">
        <f t="shared" si="7"/>
        <v>44026</v>
      </c>
      <c r="H197" s="8">
        <f t="shared" si="6"/>
        <v>44026</v>
      </c>
      <c r="I197" t="s">
        <v>37</v>
      </c>
      <c r="J197" t="s">
        <v>37</v>
      </c>
      <c r="K197" t="s">
        <v>37</v>
      </c>
      <c r="L197" t="s">
        <v>37</v>
      </c>
    </row>
    <row r="198" spans="6:13">
      <c r="F198">
        <v>197</v>
      </c>
      <c r="G198" s="2">
        <f t="shared" si="7"/>
        <v>44027</v>
      </c>
      <c r="H198" s="8">
        <f t="shared" si="6"/>
        <v>44027</v>
      </c>
    </row>
    <row r="199" spans="6:13">
      <c r="F199">
        <v>198</v>
      </c>
      <c r="G199" s="2">
        <f t="shared" si="7"/>
        <v>44028</v>
      </c>
      <c r="H199" s="8">
        <f t="shared" si="6"/>
        <v>44028</v>
      </c>
      <c r="I199" t="s">
        <v>35</v>
      </c>
      <c r="J199" t="s">
        <v>35</v>
      </c>
      <c r="K199" t="s">
        <v>35</v>
      </c>
    </row>
    <row r="200" spans="6:13">
      <c r="F200">
        <v>199</v>
      </c>
      <c r="G200" s="2">
        <f t="shared" si="7"/>
        <v>44029</v>
      </c>
      <c r="H200" s="8">
        <f t="shared" si="6"/>
        <v>44029</v>
      </c>
      <c r="I200" t="s">
        <v>32</v>
      </c>
      <c r="J200" t="s">
        <v>33</v>
      </c>
      <c r="K200" t="s">
        <v>38</v>
      </c>
      <c r="L200" t="s">
        <v>39</v>
      </c>
      <c r="M200" t="s">
        <v>40</v>
      </c>
    </row>
    <row r="201" spans="6:13">
      <c r="F201">
        <v>200</v>
      </c>
      <c r="G201" s="2">
        <f t="shared" si="7"/>
        <v>44030</v>
      </c>
      <c r="H201" s="8">
        <f t="shared" si="6"/>
        <v>44030</v>
      </c>
      <c r="I201" t="s">
        <v>35</v>
      </c>
    </row>
    <row r="202" spans="6:13">
      <c r="F202">
        <v>201</v>
      </c>
      <c r="G202" s="2">
        <f t="shared" si="7"/>
        <v>44031</v>
      </c>
      <c r="H202" s="8">
        <f t="shared" si="6"/>
        <v>44031</v>
      </c>
      <c r="I202" t="s">
        <v>35</v>
      </c>
    </row>
    <row r="203" spans="6:13">
      <c r="F203">
        <v>202</v>
      </c>
      <c r="G203" s="2">
        <f t="shared" si="7"/>
        <v>44032</v>
      </c>
      <c r="H203" s="8">
        <f t="shared" si="6"/>
        <v>44032</v>
      </c>
      <c r="I203" t="s">
        <v>35</v>
      </c>
      <c r="J203" t="s">
        <v>34</v>
      </c>
      <c r="K203" t="s">
        <v>35</v>
      </c>
    </row>
    <row r="204" spans="6:13">
      <c r="F204">
        <v>203</v>
      </c>
      <c r="G204" s="2">
        <f t="shared" si="7"/>
        <v>44033</v>
      </c>
      <c r="H204" s="8">
        <f t="shared" si="6"/>
        <v>44033</v>
      </c>
      <c r="I204" t="s">
        <v>35</v>
      </c>
      <c r="J204" t="s">
        <v>34</v>
      </c>
      <c r="K204" t="s">
        <v>35</v>
      </c>
    </row>
    <row r="205" spans="6:13">
      <c r="F205">
        <v>204</v>
      </c>
      <c r="G205" s="2">
        <f t="shared" si="7"/>
        <v>44034</v>
      </c>
      <c r="H205" s="8">
        <f t="shared" si="6"/>
        <v>44034</v>
      </c>
      <c r="I205" t="s">
        <v>35</v>
      </c>
      <c r="J205" t="s">
        <v>34</v>
      </c>
      <c r="K205" t="s">
        <v>35</v>
      </c>
      <c r="L205" t="s">
        <v>37</v>
      </c>
    </row>
    <row r="206" spans="6:13">
      <c r="F206">
        <v>205</v>
      </c>
      <c r="G206" s="2">
        <f t="shared" si="7"/>
        <v>44035</v>
      </c>
      <c r="H206" s="8">
        <f t="shared" si="6"/>
        <v>44035</v>
      </c>
      <c r="I206" t="s">
        <v>35</v>
      </c>
      <c r="K206" t="s">
        <v>35</v>
      </c>
    </row>
    <row r="207" spans="6:13">
      <c r="F207">
        <v>206</v>
      </c>
      <c r="G207" s="2">
        <f t="shared" si="7"/>
        <v>44036</v>
      </c>
      <c r="H207" s="8">
        <f t="shared" si="6"/>
        <v>44036</v>
      </c>
      <c r="I207" t="s">
        <v>35</v>
      </c>
      <c r="K207" t="s">
        <v>35</v>
      </c>
    </row>
    <row r="208" spans="6:13">
      <c r="F208">
        <v>207</v>
      </c>
      <c r="G208" s="2">
        <f t="shared" si="7"/>
        <v>44037</v>
      </c>
      <c r="H208" s="8">
        <f t="shared" si="6"/>
        <v>44037</v>
      </c>
    </row>
    <row r="209" spans="6:13">
      <c r="F209">
        <v>208</v>
      </c>
      <c r="G209" s="2">
        <f t="shared" si="7"/>
        <v>44038</v>
      </c>
      <c r="H209" s="8">
        <f t="shared" si="6"/>
        <v>44038</v>
      </c>
      <c r="I209" t="s">
        <v>36</v>
      </c>
    </row>
    <row r="210" spans="6:13">
      <c r="F210">
        <v>209</v>
      </c>
      <c r="G210" s="2">
        <f t="shared" si="7"/>
        <v>44039</v>
      </c>
      <c r="H210" s="8">
        <f t="shared" si="6"/>
        <v>44039</v>
      </c>
    </row>
    <row r="211" spans="6:13">
      <c r="F211">
        <v>210</v>
      </c>
      <c r="G211" s="2">
        <f t="shared" si="7"/>
        <v>44040</v>
      </c>
      <c r="H211" s="8">
        <f t="shared" si="6"/>
        <v>44040</v>
      </c>
      <c r="I211" t="s">
        <v>35</v>
      </c>
    </row>
    <row r="212" spans="6:13">
      <c r="F212">
        <v>211</v>
      </c>
      <c r="G212" s="2">
        <f t="shared" si="7"/>
        <v>44041</v>
      </c>
      <c r="H212" s="8">
        <f t="shared" si="6"/>
        <v>44041</v>
      </c>
    </row>
    <row r="213" spans="6:13">
      <c r="F213">
        <v>212</v>
      </c>
      <c r="G213" s="2">
        <f t="shared" si="7"/>
        <v>44042</v>
      </c>
      <c r="H213" s="8">
        <f t="shared" si="6"/>
        <v>44042</v>
      </c>
      <c r="I213" t="s">
        <v>34</v>
      </c>
      <c r="J213" t="s">
        <v>34</v>
      </c>
    </row>
    <row r="214" spans="6:13">
      <c r="F214">
        <v>213</v>
      </c>
      <c r="G214" s="2">
        <f t="shared" si="7"/>
        <v>44043</v>
      </c>
      <c r="H214" s="8">
        <f t="shared" si="6"/>
        <v>44043</v>
      </c>
    </row>
    <row r="215" spans="6:13">
      <c r="F215">
        <v>214</v>
      </c>
      <c r="G215" s="2">
        <f t="shared" si="7"/>
        <v>44044</v>
      </c>
      <c r="H215" s="8">
        <f t="shared" si="6"/>
        <v>44044</v>
      </c>
      <c r="I215" t="s">
        <v>37</v>
      </c>
      <c r="J215" t="s">
        <v>37</v>
      </c>
      <c r="K215" t="s">
        <v>37</v>
      </c>
      <c r="L215" t="s">
        <v>37</v>
      </c>
    </row>
    <row r="216" spans="6:13">
      <c r="F216">
        <v>215</v>
      </c>
      <c r="G216" s="2">
        <f t="shared" si="7"/>
        <v>44045</v>
      </c>
      <c r="H216" s="8">
        <f t="shared" si="6"/>
        <v>44045</v>
      </c>
    </row>
    <row r="217" spans="6:13">
      <c r="F217">
        <v>216</v>
      </c>
      <c r="G217" s="2">
        <f t="shared" si="7"/>
        <v>44046</v>
      </c>
      <c r="H217" s="8">
        <f t="shared" si="6"/>
        <v>44046</v>
      </c>
      <c r="I217" t="s">
        <v>35</v>
      </c>
      <c r="J217" t="s">
        <v>35</v>
      </c>
      <c r="K217" t="s">
        <v>35</v>
      </c>
    </row>
    <row r="218" spans="6:13">
      <c r="F218">
        <v>217</v>
      </c>
      <c r="G218" s="2">
        <f t="shared" si="7"/>
        <v>44047</v>
      </c>
      <c r="H218" s="8">
        <f t="shared" si="6"/>
        <v>44047</v>
      </c>
      <c r="I218" t="s">
        <v>32</v>
      </c>
      <c r="J218" t="s">
        <v>33</v>
      </c>
      <c r="K218" t="s">
        <v>38</v>
      </c>
      <c r="L218" t="s">
        <v>39</v>
      </c>
      <c r="M218" t="s">
        <v>40</v>
      </c>
    </row>
    <row r="219" spans="6:13">
      <c r="F219">
        <v>218</v>
      </c>
      <c r="G219" s="2">
        <f t="shared" si="7"/>
        <v>44048</v>
      </c>
      <c r="H219" s="8">
        <f t="shared" si="6"/>
        <v>44048</v>
      </c>
      <c r="I219" t="s">
        <v>35</v>
      </c>
    </row>
    <row r="220" spans="6:13">
      <c r="F220">
        <v>219</v>
      </c>
      <c r="G220" s="2">
        <f t="shared" si="7"/>
        <v>44049</v>
      </c>
      <c r="H220" s="8">
        <f t="shared" si="6"/>
        <v>44049</v>
      </c>
      <c r="I220" t="s">
        <v>35</v>
      </c>
    </row>
    <row r="221" spans="6:13">
      <c r="F221">
        <v>220</v>
      </c>
      <c r="G221" s="2">
        <f t="shared" si="7"/>
        <v>44050</v>
      </c>
      <c r="H221" s="8">
        <f t="shared" si="6"/>
        <v>44050</v>
      </c>
      <c r="I221" t="s">
        <v>35</v>
      </c>
      <c r="J221" t="s">
        <v>34</v>
      </c>
      <c r="K221" t="s">
        <v>35</v>
      </c>
    </row>
    <row r="222" spans="6:13">
      <c r="F222">
        <v>221</v>
      </c>
      <c r="G222" s="2">
        <f t="shared" si="7"/>
        <v>44051</v>
      </c>
      <c r="H222" s="8">
        <f t="shared" si="6"/>
        <v>44051</v>
      </c>
      <c r="I222" t="s">
        <v>35</v>
      </c>
      <c r="J222" t="s">
        <v>34</v>
      </c>
      <c r="K222" t="s">
        <v>35</v>
      </c>
    </row>
    <row r="223" spans="6:13">
      <c r="F223">
        <v>222</v>
      </c>
      <c r="G223" s="2">
        <f t="shared" si="7"/>
        <v>44052</v>
      </c>
      <c r="H223" s="8">
        <f t="shared" si="6"/>
        <v>44052</v>
      </c>
      <c r="I223" t="s">
        <v>35</v>
      </c>
      <c r="J223" t="s">
        <v>34</v>
      </c>
      <c r="K223" t="s">
        <v>35</v>
      </c>
      <c r="L223" t="s">
        <v>37</v>
      </c>
    </row>
    <row r="224" spans="6:13">
      <c r="F224">
        <v>223</v>
      </c>
      <c r="G224" s="2">
        <f t="shared" si="7"/>
        <v>44053</v>
      </c>
      <c r="H224" s="8">
        <f t="shared" si="6"/>
        <v>44053</v>
      </c>
      <c r="I224" t="s">
        <v>35</v>
      </c>
      <c r="K224" t="s">
        <v>35</v>
      </c>
    </row>
    <row r="225" spans="6:13">
      <c r="F225">
        <v>224</v>
      </c>
      <c r="G225" s="2">
        <f t="shared" si="7"/>
        <v>44054</v>
      </c>
      <c r="H225" s="8">
        <f t="shared" si="6"/>
        <v>44054</v>
      </c>
      <c r="I225" t="s">
        <v>35</v>
      </c>
      <c r="K225" t="s">
        <v>35</v>
      </c>
    </row>
    <row r="226" spans="6:13">
      <c r="F226">
        <v>225</v>
      </c>
      <c r="G226" s="2">
        <f t="shared" si="7"/>
        <v>44055</v>
      </c>
      <c r="H226" s="8">
        <f t="shared" si="6"/>
        <v>44055</v>
      </c>
    </row>
    <row r="227" spans="6:13">
      <c r="F227">
        <v>226</v>
      </c>
      <c r="G227" s="2">
        <f t="shared" si="7"/>
        <v>44056</v>
      </c>
      <c r="H227" s="8">
        <f t="shared" si="6"/>
        <v>44056</v>
      </c>
      <c r="I227" t="s">
        <v>36</v>
      </c>
    </row>
    <row r="228" spans="6:13">
      <c r="F228">
        <v>227</v>
      </c>
      <c r="G228" s="2">
        <f t="shared" si="7"/>
        <v>44057</v>
      </c>
      <c r="H228" s="8">
        <f t="shared" si="6"/>
        <v>44057</v>
      </c>
    </row>
    <row r="229" spans="6:13">
      <c r="F229">
        <v>228</v>
      </c>
      <c r="G229" s="2">
        <f t="shared" si="7"/>
        <v>44058</v>
      </c>
      <c r="H229" s="8">
        <f t="shared" si="6"/>
        <v>44058</v>
      </c>
      <c r="I229" t="s">
        <v>35</v>
      </c>
    </row>
    <row r="230" spans="6:13">
      <c r="F230">
        <v>229</v>
      </c>
      <c r="G230" s="2">
        <f t="shared" si="7"/>
        <v>44059</v>
      </c>
      <c r="H230" s="8">
        <f t="shared" si="6"/>
        <v>44059</v>
      </c>
    </row>
    <row r="231" spans="6:13">
      <c r="F231">
        <v>230</v>
      </c>
      <c r="G231" s="2">
        <f t="shared" si="7"/>
        <v>44060</v>
      </c>
      <c r="H231" s="8">
        <f t="shared" si="6"/>
        <v>44060</v>
      </c>
      <c r="I231" t="s">
        <v>34</v>
      </c>
      <c r="J231" t="s">
        <v>34</v>
      </c>
    </row>
    <row r="232" spans="6:13">
      <c r="F232">
        <v>231</v>
      </c>
      <c r="G232" s="2">
        <f t="shared" si="7"/>
        <v>44061</v>
      </c>
      <c r="H232" s="8">
        <f t="shared" si="6"/>
        <v>44061</v>
      </c>
    </row>
    <row r="233" spans="6:13">
      <c r="F233">
        <v>232</v>
      </c>
      <c r="G233" s="2">
        <f t="shared" si="7"/>
        <v>44062</v>
      </c>
      <c r="H233" s="8">
        <f t="shared" si="6"/>
        <v>44062</v>
      </c>
      <c r="I233" t="s">
        <v>37</v>
      </c>
      <c r="J233" t="s">
        <v>37</v>
      </c>
      <c r="K233" t="s">
        <v>37</v>
      </c>
      <c r="L233" t="s">
        <v>37</v>
      </c>
    </row>
    <row r="234" spans="6:13">
      <c r="F234">
        <v>233</v>
      </c>
      <c r="G234" s="2">
        <f t="shared" si="7"/>
        <v>44063</v>
      </c>
      <c r="H234" s="8">
        <f t="shared" si="6"/>
        <v>44063</v>
      </c>
    </row>
    <row r="235" spans="6:13">
      <c r="F235">
        <v>234</v>
      </c>
      <c r="G235" s="2">
        <f t="shared" si="7"/>
        <v>44064</v>
      </c>
      <c r="H235" s="8">
        <f t="shared" si="6"/>
        <v>44064</v>
      </c>
      <c r="I235" t="s">
        <v>35</v>
      </c>
      <c r="J235" t="s">
        <v>35</v>
      </c>
      <c r="K235" t="s">
        <v>35</v>
      </c>
    </row>
    <row r="236" spans="6:13">
      <c r="F236">
        <v>235</v>
      </c>
      <c r="G236" s="2">
        <f t="shared" si="7"/>
        <v>44065</v>
      </c>
      <c r="H236" s="8">
        <f t="shared" si="6"/>
        <v>44065</v>
      </c>
      <c r="I236" t="s">
        <v>32</v>
      </c>
      <c r="J236" t="s">
        <v>33</v>
      </c>
      <c r="K236" t="s">
        <v>38</v>
      </c>
      <c r="L236" t="s">
        <v>39</v>
      </c>
      <c r="M236" t="s">
        <v>40</v>
      </c>
    </row>
    <row r="237" spans="6:13">
      <c r="F237">
        <v>236</v>
      </c>
      <c r="G237" s="2">
        <f t="shared" si="7"/>
        <v>44066</v>
      </c>
      <c r="H237" s="8">
        <f t="shared" si="6"/>
        <v>44066</v>
      </c>
      <c r="I237" t="s">
        <v>35</v>
      </c>
    </row>
    <row r="238" spans="6:13">
      <c r="F238">
        <v>237</v>
      </c>
      <c r="G238" s="2">
        <f t="shared" si="7"/>
        <v>44067</v>
      </c>
      <c r="H238" s="8">
        <f t="shared" si="6"/>
        <v>44067</v>
      </c>
      <c r="I238" t="s">
        <v>35</v>
      </c>
    </row>
    <row r="239" spans="6:13">
      <c r="F239">
        <v>238</v>
      </c>
      <c r="G239" s="2">
        <f t="shared" si="7"/>
        <v>44068</v>
      </c>
      <c r="H239" s="8">
        <f t="shared" si="6"/>
        <v>44068</v>
      </c>
      <c r="I239" t="s">
        <v>35</v>
      </c>
      <c r="J239" t="s">
        <v>34</v>
      </c>
      <c r="K239" t="s">
        <v>35</v>
      </c>
    </row>
    <row r="240" spans="6:13">
      <c r="F240">
        <v>239</v>
      </c>
      <c r="G240" s="2">
        <f t="shared" si="7"/>
        <v>44069</v>
      </c>
      <c r="H240" s="8">
        <f t="shared" si="6"/>
        <v>44069</v>
      </c>
      <c r="I240" t="s">
        <v>35</v>
      </c>
      <c r="J240" t="s">
        <v>34</v>
      </c>
      <c r="K240" t="s">
        <v>35</v>
      </c>
    </row>
    <row r="241" spans="6:13">
      <c r="F241">
        <v>240</v>
      </c>
      <c r="G241" s="2">
        <f t="shared" si="7"/>
        <v>44070</v>
      </c>
      <c r="H241" s="8">
        <f t="shared" si="6"/>
        <v>44070</v>
      </c>
      <c r="I241" t="s">
        <v>35</v>
      </c>
      <c r="J241" t="s">
        <v>34</v>
      </c>
      <c r="K241" t="s">
        <v>35</v>
      </c>
      <c r="L241" t="s">
        <v>37</v>
      </c>
    </row>
    <row r="242" spans="6:13">
      <c r="F242">
        <v>241</v>
      </c>
      <c r="G242" s="2">
        <f t="shared" si="7"/>
        <v>44071</v>
      </c>
      <c r="H242" s="8">
        <f t="shared" si="6"/>
        <v>44071</v>
      </c>
      <c r="I242" t="s">
        <v>35</v>
      </c>
      <c r="K242" t="s">
        <v>35</v>
      </c>
    </row>
    <row r="243" spans="6:13">
      <c r="F243">
        <v>242</v>
      </c>
      <c r="G243" s="2">
        <f t="shared" si="7"/>
        <v>44072</v>
      </c>
      <c r="H243" s="8">
        <f t="shared" si="6"/>
        <v>44072</v>
      </c>
      <c r="I243" t="s">
        <v>35</v>
      </c>
      <c r="K243" t="s">
        <v>35</v>
      </c>
    </row>
    <row r="244" spans="6:13">
      <c r="F244">
        <v>243</v>
      </c>
      <c r="G244" s="2">
        <f t="shared" si="7"/>
        <v>44073</v>
      </c>
      <c r="H244" s="8">
        <f t="shared" si="6"/>
        <v>44073</v>
      </c>
    </row>
    <row r="245" spans="6:13">
      <c r="F245">
        <v>244</v>
      </c>
      <c r="G245" s="2">
        <f t="shared" si="7"/>
        <v>44074</v>
      </c>
      <c r="H245" s="8">
        <f t="shared" si="6"/>
        <v>44074</v>
      </c>
      <c r="I245" t="s">
        <v>36</v>
      </c>
    </row>
    <row r="246" spans="6:13">
      <c r="F246">
        <v>245</v>
      </c>
      <c r="G246" s="2">
        <f t="shared" si="7"/>
        <v>44075</v>
      </c>
      <c r="H246" s="8">
        <f t="shared" si="6"/>
        <v>44075</v>
      </c>
    </row>
    <row r="247" spans="6:13">
      <c r="F247">
        <v>246</v>
      </c>
      <c r="G247" s="2">
        <f t="shared" si="7"/>
        <v>44076</v>
      </c>
      <c r="H247" s="8">
        <f t="shared" si="6"/>
        <v>44076</v>
      </c>
      <c r="I247" t="s">
        <v>35</v>
      </c>
    </row>
    <row r="248" spans="6:13">
      <c r="F248">
        <v>247</v>
      </c>
      <c r="G248" s="2">
        <f t="shared" si="7"/>
        <v>44077</v>
      </c>
      <c r="H248" s="8">
        <f t="shared" si="6"/>
        <v>44077</v>
      </c>
      <c r="I248" s="9" t="s">
        <v>49</v>
      </c>
    </row>
    <row r="249" spans="6:13">
      <c r="F249">
        <v>248</v>
      </c>
      <c r="G249" s="2">
        <f t="shared" si="7"/>
        <v>44078</v>
      </c>
      <c r="H249" s="8">
        <f t="shared" si="6"/>
        <v>44078</v>
      </c>
      <c r="I249" t="s">
        <v>34</v>
      </c>
      <c r="J249" t="s">
        <v>34</v>
      </c>
    </row>
    <row r="250" spans="6:13">
      <c r="F250">
        <v>249</v>
      </c>
      <c r="G250" s="2">
        <f t="shared" si="7"/>
        <v>44079</v>
      </c>
      <c r="H250" s="8">
        <f t="shared" si="6"/>
        <v>44079</v>
      </c>
    </row>
    <row r="251" spans="6:13">
      <c r="F251">
        <v>250</v>
      </c>
      <c r="G251" s="2">
        <f t="shared" si="7"/>
        <v>44080</v>
      </c>
      <c r="H251" s="8">
        <f t="shared" si="6"/>
        <v>44080</v>
      </c>
      <c r="I251" t="s">
        <v>37</v>
      </c>
      <c r="J251" t="s">
        <v>37</v>
      </c>
      <c r="K251" t="s">
        <v>37</v>
      </c>
      <c r="L251" t="s">
        <v>37</v>
      </c>
    </row>
    <row r="252" spans="6:13">
      <c r="F252">
        <v>251</v>
      </c>
      <c r="G252" s="2">
        <f t="shared" si="7"/>
        <v>44081</v>
      </c>
      <c r="H252" s="8">
        <f t="shared" si="6"/>
        <v>44081</v>
      </c>
      <c r="I252" s="9" t="s">
        <v>50</v>
      </c>
    </row>
    <row r="253" spans="6:13">
      <c r="F253">
        <v>252</v>
      </c>
      <c r="G253" s="2">
        <f t="shared" si="7"/>
        <v>44082</v>
      </c>
      <c r="H253" s="8">
        <f t="shared" si="6"/>
        <v>44082</v>
      </c>
      <c r="I253" t="s">
        <v>35</v>
      </c>
      <c r="J253" t="s">
        <v>35</v>
      </c>
      <c r="K253" t="s">
        <v>35</v>
      </c>
    </row>
    <row r="254" spans="6:13">
      <c r="F254">
        <v>253</v>
      </c>
      <c r="G254" s="2">
        <f t="shared" ref="G254:G259" si="8">G253+1</f>
        <v>44083</v>
      </c>
      <c r="H254" s="8">
        <f t="shared" si="6"/>
        <v>44083</v>
      </c>
      <c r="I254" t="s">
        <v>32</v>
      </c>
      <c r="J254" t="s">
        <v>33</v>
      </c>
      <c r="K254" t="s">
        <v>38</v>
      </c>
      <c r="L254" t="s">
        <v>39</v>
      </c>
      <c r="M254" t="s">
        <v>40</v>
      </c>
    </row>
    <row r="255" spans="6:13">
      <c r="F255">
        <v>254</v>
      </c>
      <c r="G255" s="2">
        <f t="shared" si="8"/>
        <v>44084</v>
      </c>
      <c r="H255" s="8">
        <f t="shared" si="6"/>
        <v>44084</v>
      </c>
      <c r="I255" t="s">
        <v>35</v>
      </c>
    </row>
    <row r="256" spans="6:13">
      <c r="F256">
        <v>255</v>
      </c>
      <c r="G256" s="2">
        <f t="shared" si="8"/>
        <v>44085</v>
      </c>
      <c r="H256" s="8">
        <f t="shared" si="6"/>
        <v>44085</v>
      </c>
      <c r="I256" t="s">
        <v>35</v>
      </c>
    </row>
    <row r="257" spans="6:13">
      <c r="F257">
        <v>256</v>
      </c>
      <c r="G257" s="2">
        <f t="shared" si="8"/>
        <v>44086</v>
      </c>
      <c r="H257" s="8">
        <f t="shared" si="6"/>
        <v>44086</v>
      </c>
      <c r="I257" t="s">
        <v>35</v>
      </c>
      <c r="J257" t="s">
        <v>34</v>
      </c>
      <c r="K257" t="s">
        <v>35</v>
      </c>
    </row>
    <row r="258" spans="6:13">
      <c r="F258">
        <v>257</v>
      </c>
      <c r="G258" s="2">
        <f t="shared" si="8"/>
        <v>44087</v>
      </c>
      <c r="H258" s="8">
        <f t="shared" si="6"/>
        <v>44087</v>
      </c>
      <c r="I258" t="s">
        <v>35</v>
      </c>
      <c r="J258" t="s">
        <v>34</v>
      </c>
      <c r="K258" t="s">
        <v>35</v>
      </c>
    </row>
    <row r="259" spans="6:13">
      <c r="F259">
        <v>258</v>
      </c>
      <c r="G259" s="2">
        <f t="shared" si="8"/>
        <v>44088</v>
      </c>
      <c r="H259" s="8">
        <f t="shared" ref="H259:H322" si="9">G259</f>
        <v>44088</v>
      </c>
      <c r="I259" t="s">
        <v>35</v>
      </c>
      <c r="J259" t="s">
        <v>34</v>
      </c>
      <c r="K259" t="s">
        <v>35</v>
      </c>
      <c r="L259" t="s">
        <v>37</v>
      </c>
    </row>
    <row r="260" spans="6:13">
      <c r="F260">
        <v>259</v>
      </c>
      <c r="G260" s="2">
        <f t="shared" ref="G260:G323" si="10">G259+1</f>
        <v>44089</v>
      </c>
      <c r="H260" s="8">
        <f t="shared" si="9"/>
        <v>44089</v>
      </c>
      <c r="I260" t="s">
        <v>35</v>
      </c>
      <c r="K260" t="s">
        <v>35</v>
      </c>
    </row>
    <row r="261" spans="6:13">
      <c r="F261">
        <v>260</v>
      </c>
      <c r="G261" s="2">
        <f t="shared" si="10"/>
        <v>44090</v>
      </c>
      <c r="H261" s="8">
        <f t="shared" si="9"/>
        <v>44090</v>
      </c>
      <c r="I261" t="s">
        <v>35</v>
      </c>
      <c r="K261" t="s">
        <v>35</v>
      </c>
    </row>
    <row r="262" spans="6:13">
      <c r="F262">
        <v>261</v>
      </c>
      <c r="G262" s="2">
        <f t="shared" si="10"/>
        <v>44091</v>
      </c>
      <c r="H262" s="8">
        <f t="shared" si="9"/>
        <v>44091</v>
      </c>
    </row>
    <row r="263" spans="6:13">
      <c r="F263">
        <v>262</v>
      </c>
      <c r="G263" s="2">
        <f t="shared" si="10"/>
        <v>44092</v>
      </c>
      <c r="H263" s="8">
        <f t="shared" si="9"/>
        <v>44092</v>
      </c>
      <c r="I263" t="s">
        <v>36</v>
      </c>
    </row>
    <row r="264" spans="6:13">
      <c r="F264">
        <v>263</v>
      </c>
      <c r="G264" s="2">
        <f t="shared" si="10"/>
        <v>44093</v>
      </c>
      <c r="H264" s="8">
        <f t="shared" si="9"/>
        <v>44093</v>
      </c>
    </row>
    <row r="265" spans="6:13">
      <c r="F265">
        <v>264</v>
      </c>
      <c r="G265" s="2">
        <f t="shared" si="10"/>
        <v>44094</v>
      </c>
      <c r="H265" s="8">
        <f t="shared" si="9"/>
        <v>44094</v>
      </c>
      <c r="I265" t="s">
        <v>35</v>
      </c>
    </row>
    <row r="266" spans="6:13">
      <c r="F266">
        <v>265</v>
      </c>
      <c r="G266" s="2">
        <f t="shared" si="10"/>
        <v>44095</v>
      </c>
      <c r="H266" s="8">
        <f t="shared" si="9"/>
        <v>44095</v>
      </c>
    </row>
    <row r="267" spans="6:13">
      <c r="F267">
        <v>266</v>
      </c>
      <c r="G267" s="2">
        <f t="shared" si="10"/>
        <v>44096</v>
      </c>
      <c r="H267" s="8">
        <f t="shared" si="9"/>
        <v>44096</v>
      </c>
      <c r="I267" t="s">
        <v>34</v>
      </c>
      <c r="J267" t="s">
        <v>34</v>
      </c>
    </row>
    <row r="268" spans="6:13">
      <c r="F268">
        <v>267</v>
      </c>
      <c r="G268" s="2">
        <f t="shared" si="10"/>
        <v>44097</v>
      </c>
      <c r="H268" s="8">
        <f t="shared" si="9"/>
        <v>44097</v>
      </c>
    </row>
    <row r="269" spans="6:13">
      <c r="F269">
        <v>268</v>
      </c>
      <c r="G269" s="2">
        <f t="shared" si="10"/>
        <v>44098</v>
      </c>
      <c r="H269" s="8">
        <f t="shared" si="9"/>
        <v>44098</v>
      </c>
      <c r="I269" t="s">
        <v>37</v>
      </c>
      <c r="J269" t="s">
        <v>37</v>
      </c>
      <c r="K269" t="s">
        <v>37</v>
      </c>
      <c r="L269" t="s">
        <v>37</v>
      </c>
    </row>
    <row r="270" spans="6:13">
      <c r="F270">
        <v>269</v>
      </c>
      <c r="G270" s="2">
        <f t="shared" si="10"/>
        <v>44099</v>
      </c>
      <c r="H270" s="8">
        <f t="shared" si="9"/>
        <v>44099</v>
      </c>
    </row>
    <row r="271" spans="6:13">
      <c r="F271">
        <v>270</v>
      </c>
      <c r="G271" s="2">
        <f t="shared" si="10"/>
        <v>44100</v>
      </c>
      <c r="H271" s="8">
        <f t="shared" si="9"/>
        <v>44100</v>
      </c>
      <c r="I271" t="s">
        <v>35</v>
      </c>
      <c r="J271" t="s">
        <v>35</v>
      </c>
      <c r="K271" t="s">
        <v>35</v>
      </c>
    </row>
    <row r="272" spans="6:13">
      <c r="F272">
        <v>271</v>
      </c>
      <c r="G272" s="2">
        <f t="shared" si="10"/>
        <v>44101</v>
      </c>
      <c r="H272" s="8">
        <f t="shared" si="9"/>
        <v>44101</v>
      </c>
      <c r="I272" t="s">
        <v>32</v>
      </c>
      <c r="J272" t="s">
        <v>33</v>
      </c>
      <c r="K272" t="s">
        <v>38</v>
      </c>
      <c r="L272" t="s">
        <v>39</v>
      </c>
      <c r="M272" t="s">
        <v>40</v>
      </c>
    </row>
    <row r="273" spans="6:12">
      <c r="F273">
        <v>272</v>
      </c>
      <c r="G273" s="2">
        <f t="shared" si="10"/>
        <v>44102</v>
      </c>
      <c r="H273" s="8">
        <f t="shared" si="9"/>
        <v>44102</v>
      </c>
      <c r="I273" t="s">
        <v>35</v>
      </c>
    </row>
    <row r="274" spans="6:12">
      <c r="F274">
        <v>273</v>
      </c>
      <c r="G274" s="2">
        <f t="shared" si="10"/>
        <v>44103</v>
      </c>
      <c r="H274" s="8">
        <f t="shared" si="9"/>
        <v>44103</v>
      </c>
      <c r="I274" t="s">
        <v>35</v>
      </c>
    </row>
    <row r="275" spans="6:12">
      <c r="F275">
        <v>274</v>
      </c>
      <c r="G275" s="2">
        <f t="shared" si="10"/>
        <v>44104</v>
      </c>
      <c r="H275" s="8">
        <f t="shared" si="9"/>
        <v>44104</v>
      </c>
      <c r="I275" t="s">
        <v>35</v>
      </c>
      <c r="J275" t="s">
        <v>34</v>
      </c>
      <c r="K275" t="s">
        <v>35</v>
      </c>
    </row>
    <row r="276" spans="6:12">
      <c r="F276">
        <v>275</v>
      </c>
      <c r="G276" s="2">
        <f t="shared" si="10"/>
        <v>44105</v>
      </c>
      <c r="H276" s="8">
        <f t="shared" si="9"/>
        <v>44105</v>
      </c>
      <c r="I276" t="s">
        <v>35</v>
      </c>
      <c r="J276" t="s">
        <v>34</v>
      </c>
      <c r="K276" t="s">
        <v>35</v>
      </c>
    </row>
    <row r="277" spans="6:12">
      <c r="F277">
        <v>276</v>
      </c>
      <c r="G277" s="2">
        <f t="shared" si="10"/>
        <v>44106</v>
      </c>
      <c r="H277" s="8">
        <f t="shared" si="9"/>
        <v>44106</v>
      </c>
      <c r="I277" t="s">
        <v>35</v>
      </c>
      <c r="J277" t="s">
        <v>34</v>
      </c>
      <c r="K277" t="s">
        <v>35</v>
      </c>
      <c r="L277" t="s">
        <v>37</v>
      </c>
    </row>
    <row r="278" spans="6:12">
      <c r="F278">
        <v>277</v>
      </c>
      <c r="G278" s="2">
        <f t="shared" si="10"/>
        <v>44107</v>
      </c>
      <c r="H278" s="8">
        <f t="shared" si="9"/>
        <v>44107</v>
      </c>
      <c r="I278" t="s">
        <v>35</v>
      </c>
      <c r="K278" t="s">
        <v>35</v>
      </c>
    </row>
    <row r="279" spans="6:12">
      <c r="F279">
        <v>278</v>
      </c>
      <c r="G279" s="2">
        <f t="shared" si="10"/>
        <v>44108</v>
      </c>
      <c r="H279" s="8">
        <f t="shared" si="9"/>
        <v>44108</v>
      </c>
      <c r="I279" t="s">
        <v>35</v>
      </c>
      <c r="K279" t="s">
        <v>35</v>
      </c>
    </row>
    <row r="280" spans="6:12">
      <c r="F280">
        <v>279</v>
      </c>
      <c r="G280" s="2">
        <f t="shared" si="10"/>
        <v>44109</v>
      </c>
      <c r="H280" s="8">
        <f t="shared" si="9"/>
        <v>44109</v>
      </c>
    </row>
    <row r="281" spans="6:12">
      <c r="F281">
        <v>280</v>
      </c>
      <c r="G281" s="2">
        <f t="shared" si="10"/>
        <v>44110</v>
      </c>
      <c r="H281" s="8">
        <f t="shared" si="9"/>
        <v>44110</v>
      </c>
      <c r="I281" t="s">
        <v>36</v>
      </c>
    </row>
    <row r="282" spans="6:12">
      <c r="F282">
        <v>281</v>
      </c>
      <c r="G282" s="2">
        <f t="shared" si="10"/>
        <v>44111</v>
      </c>
      <c r="H282" s="8">
        <f t="shared" si="9"/>
        <v>44111</v>
      </c>
    </row>
    <row r="283" spans="6:12">
      <c r="F283">
        <v>282</v>
      </c>
      <c r="G283" s="2">
        <f t="shared" si="10"/>
        <v>44112</v>
      </c>
      <c r="H283" s="8">
        <f t="shared" si="9"/>
        <v>44112</v>
      </c>
      <c r="I283" t="s">
        <v>35</v>
      </c>
    </row>
    <row r="284" spans="6:12">
      <c r="F284">
        <v>283</v>
      </c>
      <c r="G284" s="2">
        <f t="shared" si="10"/>
        <v>44113</v>
      </c>
      <c r="H284" s="8">
        <f t="shared" si="9"/>
        <v>44113</v>
      </c>
    </row>
    <row r="285" spans="6:12">
      <c r="F285">
        <v>284</v>
      </c>
      <c r="G285" s="2">
        <f t="shared" si="10"/>
        <v>44114</v>
      </c>
      <c r="H285" s="8">
        <f t="shared" si="9"/>
        <v>44114</v>
      </c>
      <c r="I285" t="s">
        <v>34</v>
      </c>
      <c r="J285" t="s">
        <v>34</v>
      </c>
    </row>
    <row r="286" spans="6:12">
      <c r="F286">
        <v>285</v>
      </c>
      <c r="G286" s="2">
        <f t="shared" si="10"/>
        <v>44115</v>
      </c>
      <c r="H286" s="8">
        <f t="shared" si="9"/>
        <v>44115</v>
      </c>
    </row>
    <row r="287" spans="6:12">
      <c r="F287">
        <v>286</v>
      </c>
      <c r="G287" s="2">
        <f t="shared" si="10"/>
        <v>44116</v>
      </c>
      <c r="H287" s="8">
        <f t="shared" si="9"/>
        <v>44116</v>
      </c>
      <c r="I287" t="s">
        <v>37</v>
      </c>
      <c r="J287" t="s">
        <v>37</v>
      </c>
      <c r="K287" t="s">
        <v>37</v>
      </c>
      <c r="L287" t="s">
        <v>37</v>
      </c>
    </row>
    <row r="288" spans="6:12">
      <c r="F288">
        <v>287</v>
      </c>
      <c r="G288" s="2">
        <f t="shared" si="10"/>
        <v>44117</v>
      </c>
      <c r="H288" s="8">
        <f t="shared" si="9"/>
        <v>44117</v>
      </c>
    </row>
    <row r="289" spans="6:13">
      <c r="F289">
        <v>288</v>
      </c>
      <c r="G289" s="2">
        <f t="shared" si="10"/>
        <v>44118</v>
      </c>
      <c r="H289" s="8">
        <f t="shared" si="9"/>
        <v>44118</v>
      </c>
      <c r="I289" t="s">
        <v>35</v>
      </c>
      <c r="J289" t="s">
        <v>35</v>
      </c>
      <c r="K289" t="s">
        <v>35</v>
      </c>
    </row>
    <row r="290" spans="6:13">
      <c r="F290">
        <v>289</v>
      </c>
      <c r="G290" s="2">
        <f t="shared" si="10"/>
        <v>44119</v>
      </c>
      <c r="H290" s="8">
        <f t="shared" si="9"/>
        <v>44119</v>
      </c>
      <c r="I290" t="s">
        <v>32</v>
      </c>
      <c r="J290" t="s">
        <v>33</v>
      </c>
      <c r="K290" t="s">
        <v>38</v>
      </c>
      <c r="L290" t="s">
        <v>39</v>
      </c>
      <c r="M290" t="s">
        <v>40</v>
      </c>
    </row>
    <row r="291" spans="6:13">
      <c r="F291">
        <v>290</v>
      </c>
      <c r="G291" s="2">
        <f t="shared" si="10"/>
        <v>44120</v>
      </c>
      <c r="H291" s="8">
        <f t="shared" si="9"/>
        <v>44120</v>
      </c>
      <c r="I291" t="s">
        <v>35</v>
      </c>
    </row>
    <row r="292" spans="6:13">
      <c r="F292">
        <v>291</v>
      </c>
      <c r="G292" s="2">
        <f t="shared" si="10"/>
        <v>44121</v>
      </c>
      <c r="H292" s="8">
        <f t="shared" si="9"/>
        <v>44121</v>
      </c>
      <c r="I292" t="s">
        <v>35</v>
      </c>
    </row>
    <row r="293" spans="6:13">
      <c r="F293">
        <v>292</v>
      </c>
      <c r="G293" s="2">
        <f t="shared" si="10"/>
        <v>44122</v>
      </c>
      <c r="H293" s="8">
        <f t="shared" si="9"/>
        <v>44122</v>
      </c>
      <c r="I293" t="s">
        <v>35</v>
      </c>
      <c r="J293" t="s">
        <v>34</v>
      </c>
      <c r="K293" t="s">
        <v>35</v>
      </c>
    </row>
    <row r="294" spans="6:13">
      <c r="F294">
        <v>293</v>
      </c>
      <c r="G294" s="2">
        <f t="shared" si="10"/>
        <v>44123</v>
      </c>
      <c r="H294" s="8">
        <f t="shared" si="9"/>
        <v>44123</v>
      </c>
      <c r="I294" t="s">
        <v>35</v>
      </c>
      <c r="J294" t="s">
        <v>34</v>
      </c>
      <c r="K294" t="s">
        <v>35</v>
      </c>
    </row>
    <row r="295" spans="6:13">
      <c r="F295">
        <v>294</v>
      </c>
      <c r="G295" s="2">
        <f t="shared" si="10"/>
        <v>44124</v>
      </c>
      <c r="H295" s="8">
        <f t="shared" si="9"/>
        <v>44124</v>
      </c>
      <c r="I295" t="s">
        <v>35</v>
      </c>
      <c r="J295" t="s">
        <v>34</v>
      </c>
      <c r="K295" t="s">
        <v>35</v>
      </c>
      <c r="L295" t="s">
        <v>37</v>
      </c>
    </row>
    <row r="296" spans="6:13">
      <c r="F296">
        <v>295</v>
      </c>
      <c r="G296" s="2">
        <f t="shared" si="10"/>
        <v>44125</v>
      </c>
      <c r="H296" s="8">
        <f t="shared" si="9"/>
        <v>44125</v>
      </c>
      <c r="I296" t="s">
        <v>35</v>
      </c>
      <c r="K296" t="s">
        <v>35</v>
      </c>
    </row>
    <row r="297" spans="6:13">
      <c r="F297">
        <v>296</v>
      </c>
      <c r="G297" s="2">
        <f t="shared" si="10"/>
        <v>44126</v>
      </c>
      <c r="H297" s="8">
        <f t="shared" si="9"/>
        <v>44126</v>
      </c>
      <c r="I297" t="s">
        <v>35</v>
      </c>
      <c r="K297" t="s">
        <v>35</v>
      </c>
    </row>
    <row r="298" spans="6:13">
      <c r="F298">
        <v>297</v>
      </c>
      <c r="G298" s="2">
        <f t="shared" si="10"/>
        <v>44127</v>
      </c>
      <c r="H298" s="8">
        <f t="shared" si="9"/>
        <v>44127</v>
      </c>
    </row>
    <row r="299" spans="6:13">
      <c r="F299">
        <v>298</v>
      </c>
      <c r="G299" s="2">
        <f t="shared" si="10"/>
        <v>44128</v>
      </c>
      <c r="H299" s="8">
        <f t="shared" si="9"/>
        <v>44128</v>
      </c>
      <c r="I299" t="s">
        <v>36</v>
      </c>
    </row>
    <row r="300" spans="6:13">
      <c r="F300">
        <v>299</v>
      </c>
      <c r="G300" s="2">
        <f t="shared" si="10"/>
        <v>44129</v>
      </c>
      <c r="H300" s="8">
        <f t="shared" si="9"/>
        <v>44129</v>
      </c>
    </row>
    <row r="301" spans="6:13">
      <c r="F301">
        <v>300</v>
      </c>
      <c r="G301" s="2">
        <f t="shared" si="10"/>
        <v>44130</v>
      </c>
      <c r="H301" s="8">
        <f t="shared" si="9"/>
        <v>44130</v>
      </c>
      <c r="I301" t="s">
        <v>35</v>
      </c>
    </row>
    <row r="302" spans="6:13">
      <c r="F302">
        <v>301</v>
      </c>
      <c r="G302" s="2">
        <f t="shared" si="10"/>
        <v>44131</v>
      </c>
      <c r="H302" s="8">
        <f t="shared" si="9"/>
        <v>44131</v>
      </c>
    </row>
    <row r="303" spans="6:13">
      <c r="F303">
        <v>302</v>
      </c>
      <c r="G303" s="2">
        <f t="shared" si="10"/>
        <v>44132</v>
      </c>
      <c r="H303" s="8">
        <f t="shared" si="9"/>
        <v>44132</v>
      </c>
      <c r="I303" t="s">
        <v>34</v>
      </c>
      <c r="J303" t="s">
        <v>34</v>
      </c>
    </row>
    <row r="304" spans="6:13">
      <c r="F304">
        <v>303</v>
      </c>
      <c r="G304" s="2">
        <f t="shared" si="10"/>
        <v>44133</v>
      </c>
      <c r="H304" s="8">
        <f t="shared" si="9"/>
        <v>44133</v>
      </c>
    </row>
    <row r="305" spans="6:13">
      <c r="F305">
        <v>304</v>
      </c>
      <c r="G305" s="2">
        <f t="shared" si="10"/>
        <v>44134</v>
      </c>
      <c r="H305" s="8">
        <f t="shared" si="9"/>
        <v>44134</v>
      </c>
      <c r="I305" t="s">
        <v>37</v>
      </c>
      <c r="J305" t="s">
        <v>37</v>
      </c>
      <c r="K305" t="s">
        <v>37</v>
      </c>
      <c r="L305" t="s">
        <v>37</v>
      </c>
    </row>
    <row r="306" spans="6:13">
      <c r="F306">
        <v>305</v>
      </c>
      <c r="G306" s="2">
        <f t="shared" si="10"/>
        <v>44135</v>
      </c>
      <c r="H306" s="8">
        <f t="shared" si="9"/>
        <v>44135</v>
      </c>
    </row>
    <row r="307" spans="6:13">
      <c r="F307">
        <v>306</v>
      </c>
      <c r="G307" s="2">
        <f t="shared" si="10"/>
        <v>44136</v>
      </c>
      <c r="H307" s="8">
        <f t="shared" si="9"/>
        <v>44136</v>
      </c>
      <c r="I307" t="s">
        <v>35</v>
      </c>
      <c r="J307" t="s">
        <v>35</v>
      </c>
      <c r="K307" t="s">
        <v>35</v>
      </c>
    </row>
    <row r="308" spans="6:13">
      <c r="F308">
        <v>307</v>
      </c>
      <c r="G308" s="2">
        <f t="shared" si="10"/>
        <v>44137</v>
      </c>
      <c r="H308" s="8">
        <f t="shared" si="9"/>
        <v>44137</v>
      </c>
      <c r="I308" t="s">
        <v>32</v>
      </c>
      <c r="J308" t="s">
        <v>33</v>
      </c>
      <c r="K308" t="s">
        <v>38</v>
      </c>
      <c r="L308" t="s">
        <v>39</v>
      </c>
      <c r="M308" t="s">
        <v>40</v>
      </c>
    </row>
    <row r="309" spans="6:13">
      <c r="F309">
        <v>308</v>
      </c>
      <c r="G309" s="2">
        <f t="shared" si="10"/>
        <v>44138</v>
      </c>
      <c r="H309" s="8">
        <f t="shared" si="9"/>
        <v>44138</v>
      </c>
      <c r="I309" t="s">
        <v>35</v>
      </c>
    </row>
    <row r="310" spans="6:13">
      <c r="F310">
        <v>309</v>
      </c>
      <c r="G310" s="2">
        <f t="shared" si="10"/>
        <v>44139</v>
      </c>
      <c r="H310" s="8">
        <f t="shared" si="9"/>
        <v>44139</v>
      </c>
      <c r="I310" t="s">
        <v>35</v>
      </c>
    </row>
    <row r="311" spans="6:13">
      <c r="F311">
        <v>310</v>
      </c>
      <c r="G311" s="2">
        <f t="shared" si="10"/>
        <v>44140</v>
      </c>
      <c r="H311" s="8">
        <f t="shared" si="9"/>
        <v>44140</v>
      </c>
      <c r="I311" t="s">
        <v>35</v>
      </c>
      <c r="J311" t="s">
        <v>34</v>
      </c>
      <c r="K311" t="s">
        <v>35</v>
      </c>
    </row>
    <row r="312" spans="6:13">
      <c r="F312">
        <v>311</v>
      </c>
      <c r="G312" s="2">
        <f t="shared" si="10"/>
        <v>44141</v>
      </c>
      <c r="H312" s="8">
        <f t="shared" si="9"/>
        <v>44141</v>
      </c>
      <c r="I312" t="s">
        <v>35</v>
      </c>
      <c r="J312" t="s">
        <v>34</v>
      </c>
      <c r="K312" t="s">
        <v>35</v>
      </c>
    </row>
    <row r="313" spans="6:13">
      <c r="F313">
        <v>312</v>
      </c>
      <c r="G313" s="2">
        <f t="shared" si="10"/>
        <v>44142</v>
      </c>
      <c r="H313" s="8">
        <f t="shared" si="9"/>
        <v>44142</v>
      </c>
      <c r="I313" t="s">
        <v>35</v>
      </c>
      <c r="J313" t="s">
        <v>34</v>
      </c>
      <c r="K313" t="s">
        <v>35</v>
      </c>
      <c r="L313" t="s">
        <v>37</v>
      </c>
    </row>
    <row r="314" spans="6:13">
      <c r="F314">
        <v>313</v>
      </c>
      <c r="G314" s="2">
        <f t="shared" si="10"/>
        <v>44143</v>
      </c>
      <c r="H314" s="8">
        <f t="shared" si="9"/>
        <v>44143</v>
      </c>
      <c r="I314" t="s">
        <v>35</v>
      </c>
      <c r="K314" t="s">
        <v>35</v>
      </c>
    </row>
    <row r="315" spans="6:13">
      <c r="F315">
        <v>314</v>
      </c>
      <c r="G315" s="2">
        <f t="shared" si="10"/>
        <v>44144</v>
      </c>
      <c r="H315" s="8">
        <f t="shared" si="9"/>
        <v>44144</v>
      </c>
      <c r="I315" t="s">
        <v>35</v>
      </c>
      <c r="K315" t="s">
        <v>35</v>
      </c>
    </row>
    <row r="316" spans="6:13">
      <c r="F316">
        <v>315</v>
      </c>
      <c r="G316" s="2">
        <f t="shared" si="10"/>
        <v>44145</v>
      </c>
      <c r="H316" s="8">
        <f t="shared" si="9"/>
        <v>44145</v>
      </c>
    </row>
    <row r="317" spans="6:13">
      <c r="F317">
        <v>316</v>
      </c>
      <c r="G317" s="2">
        <f t="shared" si="10"/>
        <v>44146</v>
      </c>
      <c r="H317" s="8">
        <f t="shared" si="9"/>
        <v>44146</v>
      </c>
      <c r="I317" t="s">
        <v>36</v>
      </c>
    </row>
    <row r="318" spans="6:13">
      <c r="F318">
        <v>317</v>
      </c>
      <c r="G318" s="2">
        <f t="shared" si="10"/>
        <v>44147</v>
      </c>
      <c r="H318" s="8">
        <f t="shared" si="9"/>
        <v>44147</v>
      </c>
    </row>
    <row r="319" spans="6:13">
      <c r="F319">
        <v>318</v>
      </c>
      <c r="G319" s="2">
        <f t="shared" si="10"/>
        <v>44148</v>
      </c>
      <c r="H319" s="8">
        <f t="shared" si="9"/>
        <v>44148</v>
      </c>
      <c r="I319" t="s">
        <v>35</v>
      </c>
    </row>
    <row r="320" spans="6:13">
      <c r="F320">
        <v>319</v>
      </c>
      <c r="G320" s="2">
        <f t="shared" si="10"/>
        <v>44149</v>
      </c>
      <c r="H320" s="8">
        <f t="shared" si="9"/>
        <v>44149</v>
      </c>
    </row>
    <row r="321" spans="6:13">
      <c r="F321">
        <v>320</v>
      </c>
      <c r="G321" s="2">
        <f t="shared" si="10"/>
        <v>44150</v>
      </c>
      <c r="H321" s="8">
        <f t="shared" si="9"/>
        <v>44150</v>
      </c>
      <c r="I321" t="s">
        <v>34</v>
      </c>
      <c r="J321" t="s">
        <v>34</v>
      </c>
    </row>
    <row r="322" spans="6:13">
      <c r="F322">
        <v>321</v>
      </c>
      <c r="G322" s="2">
        <f t="shared" si="10"/>
        <v>44151</v>
      </c>
      <c r="H322" s="8">
        <f t="shared" si="9"/>
        <v>44151</v>
      </c>
    </row>
    <row r="323" spans="6:13">
      <c r="F323">
        <v>322</v>
      </c>
      <c r="G323" s="2">
        <f t="shared" si="10"/>
        <v>44152</v>
      </c>
      <c r="H323" s="8">
        <f t="shared" ref="H323:H365" si="11">G323</f>
        <v>44152</v>
      </c>
      <c r="I323" t="s">
        <v>37</v>
      </c>
      <c r="J323" t="s">
        <v>37</v>
      </c>
      <c r="K323" t="s">
        <v>37</v>
      </c>
      <c r="L323" t="s">
        <v>37</v>
      </c>
    </row>
    <row r="324" spans="6:13">
      <c r="F324">
        <v>323</v>
      </c>
      <c r="G324" s="2">
        <f t="shared" ref="G324:G366" si="12">G323+1</f>
        <v>44153</v>
      </c>
      <c r="H324" s="8">
        <f t="shared" si="11"/>
        <v>44153</v>
      </c>
    </row>
    <row r="325" spans="6:13">
      <c r="F325">
        <v>324</v>
      </c>
      <c r="G325" s="2">
        <f t="shared" si="12"/>
        <v>44154</v>
      </c>
      <c r="H325" s="8">
        <f t="shared" si="11"/>
        <v>44154</v>
      </c>
      <c r="I325" t="s">
        <v>35</v>
      </c>
      <c r="J325" t="s">
        <v>35</v>
      </c>
      <c r="K325" t="s">
        <v>35</v>
      </c>
    </row>
    <row r="326" spans="6:13">
      <c r="F326">
        <v>325</v>
      </c>
      <c r="G326" s="2">
        <f t="shared" si="12"/>
        <v>44155</v>
      </c>
      <c r="H326" s="8">
        <f t="shared" si="11"/>
        <v>44155</v>
      </c>
      <c r="I326" t="s">
        <v>32</v>
      </c>
      <c r="J326" t="s">
        <v>33</v>
      </c>
      <c r="K326" t="s">
        <v>38</v>
      </c>
      <c r="L326" t="s">
        <v>39</v>
      </c>
      <c r="M326" t="s">
        <v>40</v>
      </c>
    </row>
    <row r="327" spans="6:13">
      <c r="F327">
        <v>326</v>
      </c>
      <c r="G327" s="2">
        <f t="shared" si="12"/>
        <v>44156</v>
      </c>
      <c r="H327" s="8">
        <f t="shared" si="11"/>
        <v>44156</v>
      </c>
      <c r="I327" t="s">
        <v>35</v>
      </c>
    </row>
    <row r="328" spans="6:13">
      <c r="F328">
        <v>327</v>
      </c>
      <c r="G328" s="2">
        <f t="shared" si="12"/>
        <v>44157</v>
      </c>
      <c r="H328" s="8">
        <f t="shared" si="11"/>
        <v>44157</v>
      </c>
      <c r="I328" t="s">
        <v>35</v>
      </c>
    </row>
    <row r="329" spans="6:13">
      <c r="F329">
        <v>328</v>
      </c>
      <c r="G329" s="2">
        <f t="shared" si="12"/>
        <v>44158</v>
      </c>
      <c r="H329" s="8">
        <f t="shared" si="11"/>
        <v>44158</v>
      </c>
      <c r="I329" t="s">
        <v>35</v>
      </c>
      <c r="J329" t="s">
        <v>34</v>
      </c>
      <c r="K329" t="s">
        <v>35</v>
      </c>
    </row>
    <row r="330" spans="6:13">
      <c r="F330">
        <v>329</v>
      </c>
      <c r="G330" s="2">
        <f t="shared" si="12"/>
        <v>44159</v>
      </c>
      <c r="H330" s="8">
        <f t="shared" si="11"/>
        <v>44159</v>
      </c>
      <c r="I330" t="s">
        <v>35</v>
      </c>
      <c r="J330" t="s">
        <v>34</v>
      </c>
      <c r="K330" t="s">
        <v>35</v>
      </c>
    </row>
    <row r="331" spans="6:13">
      <c r="F331">
        <v>330</v>
      </c>
      <c r="G331" s="2">
        <f t="shared" si="12"/>
        <v>44160</v>
      </c>
      <c r="H331" s="8">
        <f t="shared" si="11"/>
        <v>44160</v>
      </c>
      <c r="I331" t="s">
        <v>35</v>
      </c>
      <c r="J331" t="s">
        <v>34</v>
      </c>
      <c r="K331" t="s">
        <v>35</v>
      </c>
      <c r="L331" t="s">
        <v>37</v>
      </c>
    </row>
    <row r="332" spans="6:13">
      <c r="F332">
        <v>331</v>
      </c>
      <c r="G332" s="2">
        <f t="shared" si="12"/>
        <v>44161</v>
      </c>
      <c r="H332" s="8">
        <f t="shared" si="11"/>
        <v>44161</v>
      </c>
      <c r="I332" t="s">
        <v>35</v>
      </c>
      <c r="K332" t="s">
        <v>35</v>
      </c>
    </row>
    <row r="333" spans="6:13">
      <c r="F333">
        <v>332</v>
      </c>
      <c r="G333" s="2">
        <f t="shared" si="12"/>
        <v>44162</v>
      </c>
      <c r="H333" s="8">
        <f t="shared" si="11"/>
        <v>44162</v>
      </c>
      <c r="I333" t="s">
        <v>35</v>
      </c>
      <c r="K333" t="s">
        <v>35</v>
      </c>
    </row>
    <row r="334" spans="6:13">
      <c r="F334">
        <v>333</v>
      </c>
      <c r="G334" s="2">
        <f t="shared" si="12"/>
        <v>44163</v>
      </c>
      <c r="H334" s="8">
        <f t="shared" si="11"/>
        <v>44163</v>
      </c>
    </row>
    <row r="335" spans="6:13">
      <c r="F335">
        <v>334</v>
      </c>
      <c r="G335" s="2">
        <f t="shared" si="12"/>
        <v>44164</v>
      </c>
      <c r="H335" s="8">
        <f t="shared" si="11"/>
        <v>44164</v>
      </c>
      <c r="I335" t="s">
        <v>36</v>
      </c>
    </row>
    <row r="336" spans="6:13">
      <c r="F336">
        <v>335</v>
      </c>
      <c r="G336" s="2">
        <f t="shared" si="12"/>
        <v>44165</v>
      </c>
      <c r="H336" s="8">
        <f t="shared" si="11"/>
        <v>44165</v>
      </c>
    </row>
    <row r="337" spans="6:13">
      <c r="F337">
        <v>336</v>
      </c>
      <c r="G337" s="2">
        <f t="shared" si="12"/>
        <v>44166</v>
      </c>
      <c r="H337" s="8">
        <f t="shared" si="11"/>
        <v>44166</v>
      </c>
      <c r="I337" t="s">
        <v>35</v>
      </c>
    </row>
    <row r="338" spans="6:13">
      <c r="F338">
        <v>337</v>
      </c>
      <c r="G338" s="2">
        <f t="shared" si="12"/>
        <v>44167</v>
      </c>
      <c r="H338" s="8">
        <f t="shared" si="11"/>
        <v>44167</v>
      </c>
    </row>
    <row r="339" spans="6:13">
      <c r="F339">
        <v>338</v>
      </c>
      <c r="G339" s="2">
        <f t="shared" si="12"/>
        <v>44168</v>
      </c>
      <c r="H339" s="8">
        <f t="shared" si="11"/>
        <v>44168</v>
      </c>
      <c r="I339" t="s">
        <v>34</v>
      </c>
      <c r="J339" t="s">
        <v>34</v>
      </c>
    </row>
    <row r="340" spans="6:13">
      <c r="F340">
        <v>339</v>
      </c>
      <c r="G340" s="2">
        <f t="shared" si="12"/>
        <v>44169</v>
      </c>
      <c r="H340" s="8">
        <f t="shared" si="11"/>
        <v>44169</v>
      </c>
    </row>
    <row r="341" spans="6:13">
      <c r="F341">
        <v>340</v>
      </c>
      <c r="G341" s="2">
        <f t="shared" si="12"/>
        <v>44170</v>
      </c>
      <c r="H341" s="8">
        <f t="shared" si="11"/>
        <v>44170</v>
      </c>
      <c r="I341" t="s">
        <v>37</v>
      </c>
      <c r="J341" t="s">
        <v>37</v>
      </c>
      <c r="K341" t="s">
        <v>37</v>
      </c>
      <c r="L341" t="s">
        <v>37</v>
      </c>
    </row>
    <row r="342" spans="6:13">
      <c r="F342">
        <v>341</v>
      </c>
      <c r="G342" s="2">
        <f t="shared" si="12"/>
        <v>44171</v>
      </c>
      <c r="H342" s="8">
        <f t="shared" si="11"/>
        <v>44171</v>
      </c>
    </row>
    <row r="343" spans="6:13">
      <c r="F343">
        <v>342</v>
      </c>
      <c r="G343" s="2">
        <f t="shared" si="12"/>
        <v>44172</v>
      </c>
      <c r="H343" s="8">
        <f t="shared" si="11"/>
        <v>44172</v>
      </c>
      <c r="I343" t="s">
        <v>35</v>
      </c>
      <c r="J343" t="s">
        <v>35</v>
      </c>
      <c r="K343" t="s">
        <v>35</v>
      </c>
    </row>
    <row r="344" spans="6:13">
      <c r="F344">
        <v>343</v>
      </c>
      <c r="G344" s="2">
        <f t="shared" si="12"/>
        <v>44173</v>
      </c>
      <c r="H344" s="8">
        <f t="shared" si="11"/>
        <v>44173</v>
      </c>
      <c r="I344" t="s">
        <v>32</v>
      </c>
      <c r="J344" t="s">
        <v>33</v>
      </c>
      <c r="K344" t="s">
        <v>38</v>
      </c>
      <c r="L344" t="s">
        <v>39</v>
      </c>
      <c r="M344" t="s">
        <v>40</v>
      </c>
    </row>
    <row r="345" spans="6:13">
      <c r="F345">
        <v>344</v>
      </c>
      <c r="G345" s="2">
        <f t="shared" si="12"/>
        <v>44174</v>
      </c>
      <c r="H345" s="8">
        <f t="shared" si="11"/>
        <v>44174</v>
      </c>
      <c r="I345" t="s">
        <v>35</v>
      </c>
    </row>
    <row r="346" spans="6:13">
      <c r="F346">
        <v>345</v>
      </c>
      <c r="G346" s="2">
        <f t="shared" si="12"/>
        <v>44175</v>
      </c>
      <c r="H346" s="8">
        <f t="shared" si="11"/>
        <v>44175</v>
      </c>
      <c r="I346" t="s">
        <v>35</v>
      </c>
    </row>
    <row r="347" spans="6:13">
      <c r="F347">
        <v>346</v>
      </c>
      <c r="G347" s="2">
        <f t="shared" si="12"/>
        <v>44176</v>
      </c>
      <c r="H347" s="8">
        <f t="shared" si="11"/>
        <v>44176</v>
      </c>
      <c r="I347" t="s">
        <v>35</v>
      </c>
      <c r="J347" t="s">
        <v>34</v>
      </c>
      <c r="K347" t="s">
        <v>35</v>
      </c>
    </row>
    <row r="348" spans="6:13">
      <c r="F348">
        <v>347</v>
      </c>
      <c r="G348" s="2">
        <f t="shared" si="12"/>
        <v>44177</v>
      </c>
      <c r="H348" s="8">
        <f t="shared" si="11"/>
        <v>44177</v>
      </c>
      <c r="I348" t="s">
        <v>35</v>
      </c>
      <c r="J348" t="s">
        <v>34</v>
      </c>
      <c r="K348" t="s">
        <v>35</v>
      </c>
    </row>
    <row r="349" spans="6:13">
      <c r="F349">
        <v>348</v>
      </c>
      <c r="G349" s="2">
        <f t="shared" si="12"/>
        <v>44178</v>
      </c>
      <c r="H349" s="8">
        <f t="shared" si="11"/>
        <v>44178</v>
      </c>
      <c r="I349" t="s">
        <v>35</v>
      </c>
      <c r="J349" t="s">
        <v>34</v>
      </c>
      <c r="K349" t="s">
        <v>35</v>
      </c>
      <c r="L349" t="s">
        <v>37</v>
      </c>
    </row>
    <row r="350" spans="6:13">
      <c r="F350">
        <v>349</v>
      </c>
      <c r="G350" s="2">
        <f t="shared" si="12"/>
        <v>44179</v>
      </c>
      <c r="H350" s="8">
        <f t="shared" si="11"/>
        <v>44179</v>
      </c>
      <c r="I350" t="s">
        <v>35</v>
      </c>
      <c r="K350" t="s">
        <v>35</v>
      </c>
    </row>
    <row r="351" spans="6:13">
      <c r="F351">
        <v>350</v>
      </c>
      <c r="G351" s="2">
        <f t="shared" si="12"/>
        <v>44180</v>
      </c>
      <c r="H351" s="8">
        <f t="shared" si="11"/>
        <v>44180</v>
      </c>
      <c r="I351" t="s">
        <v>35</v>
      </c>
      <c r="K351" t="s">
        <v>35</v>
      </c>
    </row>
    <row r="352" spans="6:13">
      <c r="F352">
        <v>351</v>
      </c>
      <c r="G352" s="2">
        <f t="shared" si="12"/>
        <v>44181</v>
      </c>
      <c r="H352" s="8">
        <f t="shared" si="11"/>
        <v>44181</v>
      </c>
    </row>
    <row r="353" spans="6:13">
      <c r="F353">
        <v>352</v>
      </c>
      <c r="G353" s="2">
        <f t="shared" si="12"/>
        <v>44182</v>
      </c>
      <c r="H353" s="8">
        <f t="shared" si="11"/>
        <v>44182</v>
      </c>
      <c r="I353" t="s">
        <v>36</v>
      </c>
    </row>
    <row r="354" spans="6:13">
      <c r="F354">
        <v>353</v>
      </c>
      <c r="G354" s="2">
        <f t="shared" si="12"/>
        <v>44183</v>
      </c>
      <c r="H354" s="8">
        <f t="shared" si="11"/>
        <v>44183</v>
      </c>
    </row>
    <row r="355" spans="6:13">
      <c r="F355">
        <v>354</v>
      </c>
      <c r="G355" s="2">
        <f t="shared" si="12"/>
        <v>44184</v>
      </c>
      <c r="H355" s="8">
        <f t="shared" si="11"/>
        <v>44184</v>
      </c>
      <c r="I355" t="s">
        <v>35</v>
      </c>
    </row>
    <row r="356" spans="6:13">
      <c r="F356">
        <v>355</v>
      </c>
      <c r="G356" s="2">
        <f t="shared" si="12"/>
        <v>44185</v>
      </c>
      <c r="H356" s="8">
        <f t="shared" si="11"/>
        <v>44185</v>
      </c>
    </row>
    <row r="357" spans="6:13">
      <c r="F357">
        <v>356</v>
      </c>
      <c r="G357" s="2">
        <f t="shared" si="12"/>
        <v>44186</v>
      </c>
      <c r="H357" s="8">
        <f t="shared" si="11"/>
        <v>44186</v>
      </c>
      <c r="I357" t="s">
        <v>34</v>
      </c>
      <c r="J357" t="s">
        <v>34</v>
      </c>
    </row>
    <row r="358" spans="6:13">
      <c r="F358">
        <v>357</v>
      </c>
      <c r="G358" s="2">
        <f t="shared" si="12"/>
        <v>44187</v>
      </c>
      <c r="H358" s="8">
        <f t="shared" si="11"/>
        <v>44187</v>
      </c>
    </row>
    <row r="359" spans="6:13">
      <c r="F359">
        <v>358</v>
      </c>
      <c r="G359" s="2">
        <f t="shared" si="12"/>
        <v>44188</v>
      </c>
      <c r="H359" s="8">
        <f t="shared" si="11"/>
        <v>44188</v>
      </c>
      <c r="I359" t="s">
        <v>37</v>
      </c>
      <c r="J359" t="s">
        <v>37</v>
      </c>
      <c r="K359" t="s">
        <v>37</v>
      </c>
      <c r="L359" t="s">
        <v>37</v>
      </c>
    </row>
    <row r="360" spans="6:13">
      <c r="F360">
        <v>359</v>
      </c>
      <c r="G360" s="2">
        <f t="shared" si="12"/>
        <v>44189</v>
      </c>
      <c r="H360" s="8">
        <f t="shared" si="11"/>
        <v>44189</v>
      </c>
    </row>
    <row r="361" spans="6:13">
      <c r="F361">
        <v>360</v>
      </c>
      <c r="G361" s="2">
        <f t="shared" si="12"/>
        <v>44190</v>
      </c>
      <c r="H361" s="8">
        <f t="shared" si="11"/>
        <v>44190</v>
      </c>
      <c r="I361" t="s">
        <v>35</v>
      </c>
      <c r="J361" t="s">
        <v>35</v>
      </c>
      <c r="K361" t="s">
        <v>35</v>
      </c>
    </row>
    <row r="362" spans="6:13">
      <c r="F362">
        <v>361</v>
      </c>
      <c r="G362" s="2">
        <f t="shared" si="12"/>
        <v>44191</v>
      </c>
      <c r="H362" s="8">
        <f t="shared" si="11"/>
        <v>44191</v>
      </c>
      <c r="I362" t="s">
        <v>32</v>
      </c>
      <c r="J362" t="s">
        <v>33</v>
      </c>
      <c r="K362" t="s">
        <v>38</v>
      </c>
      <c r="L362" t="s">
        <v>39</v>
      </c>
      <c r="M362" t="s">
        <v>40</v>
      </c>
    </row>
    <row r="363" spans="6:13">
      <c r="F363">
        <v>362</v>
      </c>
      <c r="G363" s="2">
        <f t="shared" si="12"/>
        <v>44192</v>
      </c>
      <c r="H363" s="8">
        <f t="shared" si="11"/>
        <v>44192</v>
      </c>
      <c r="I363" t="s">
        <v>35</v>
      </c>
    </row>
    <row r="364" spans="6:13">
      <c r="F364">
        <v>363</v>
      </c>
      <c r="G364" s="2">
        <f t="shared" si="12"/>
        <v>44193</v>
      </c>
      <c r="H364" s="8">
        <f t="shared" si="11"/>
        <v>44193</v>
      </c>
      <c r="I364" t="s">
        <v>35</v>
      </c>
    </row>
    <row r="365" spans="6:13">
      <c r="F365">
        <v>364</v>
      </c>
      <c r="G365" s="2">
        <f t="shared" si="12"/>
        <v>44194</v>
      </c>
      <c r="H365" s="8">
        <f t="shared" si="11"/>
        <v>44194</v>
      </c>
      <c r="I365" t="s">
        <v>35</v>
      </c>
      <c r="J365" t="s">
        <v>34</v>
      </c>
      <c r="K365" t="s">
        <v>35</v>
      </c>
    </row>
    <row r="366" spans="6:13">
      <c r="F366">
        <v>365</v>
      </c>
      <c r="G366" s="2">
        <f t="shared" si="12"/>
        <v>44195</v>
      </c>
      <c r="H366" s="8">
        <f>G366</f>
        <v>44195</v>
      </c>
      <c r="I366" t="s">
        <v>35</v>
      </c>
      <c r="J366" t="s">
        <v>34</v>
      </c>
      <c r="K366" t="s">
        <v>35</v>
      </c>
    </row>
  </sheetData>
  <phoneticPr fontId="2"/>
  <conditionalFormatting sqref="F2:M1048576">
    <cfRule type="expression" dxfId="1" priority="1">
      <formula>COUNTIF(祝日,$G2)&gt;0</formula>
    </cfRule>
    <cfRule type="expression" dxfId="0" priority="2">
      <formula>WEEKDAY($G2,2)&gt;=6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Monthly</vt:lpstr>
      <vt:lpstr>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양동화</dc:creator>
  <cp:lastModifiedBy>양동화</cp:lastModifiedBy>
  <dcterms:created xsi:type="dcterms:W3CDTF">2020-09-08T03:46:50Z</dcterms:created>
  <dcterms:modified xsi:type="dcterms:W3CDTF">2020-10-04T04:14:06Z</dcterms:modified>
</cp:coreProperties>
</file>