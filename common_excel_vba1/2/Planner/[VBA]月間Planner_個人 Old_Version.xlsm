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dhvo\Desktop\Kimschool_VBA3\Portfolio\Planner\"/>
    </mc:Choice>
  </mc:AlternateContent>
  <xr:revisionPtr revIDLastSave="0" documentId="13_ncr:1_{3B870529-7C85-43D6-9232-F20423227834}" xr6:coauthVersionLast="45" xr6:coauthVersionMax="45" xr10:uidLastSave="{00000000-0000-0000-0000-000000000000}"/>
  <bookViews>
    <workbookView xWindow="-110" yWindow="-110" windowWidth="19420" windowHeight="11020" activeTab="1" xr2:uid="{00000000-000D-0000-FFFF-FFFF00000000}"/>
  </bookViews>
  <sheets>
    <sheet name="★Today" sheetId="15" r:id="rId1"/>
    <sheet name="Yearly" sheetId="14" r:id="rId2"/>
    <sheet name="Daily" sheetId="20" r:id="rId3"/>
    <sheet name="Plan" sheetId="16" r:id="rId4"/>
    <sheet name="Routine" sheetId="11" r:id="rId5"/>
  </sheets>
  <definedNames>
    <definedName name="루틴" localSheetId="0">Plan!$B:$B</definedName>
    <definedName name="분류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2" i="14" l="1"/>
  <c r="Q33" i="14"/>
  <c r="Q34" i="14"/>
  <c r="Q35" i="14"/>
  <c r="Q36" i="14"/>
  <c r="Q37" i="14"/>
  <c r="Q4" i="14" l="1"/>
  <c r="Q5" i="14"/>
  <c r="Q6" i="14"/>
  <c r="Q7" i="14"/>
  <c r="Q8" i="14"/>
  <c r="Q9" i="14"/>
  <c r="Q10" i="14"/>
  <c r="Q11" i="14"/>
  <c r="Q12" i="14"/>
  <c r="Q13" i="14"/>
  <c r="Q14" i="14"/>
  <c r="A3" i="15" l="1"/>
  <c r="C9" i="20" l="1"/>
  <c r="Q182" i="14" l="1"/>
  <c r="Q183" i="14"/>
  <c r="Q184" i="14"/>
  <c r="Q185" i="14"/>
  <c r="Q186" i="14"/>
  <c r="Q187" i="14"/>
  <c r="Q188" i="14"/>
  <c r="Q189" i="14"/>
  <c r="Q190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B4" i="15" l="1"/>
  <c r="J7" i="16" l="1"/>
  <c r="J10" i="16" l="1"/>
  <c r="J11" i="16" s="1"/>
  <c r="J12" i="16" s="1"/>
  <c r="J13" i="16" l="1"/>
  <c r="C3" i="15" l="1"/>
  <c r="J14" i="16"/>
  <c r="E3" i="15"/>
  <c r="A4" i="15"/>
  <c r="B16" i="20"/>
  <c r="B17" i="20"/>
  <c r="B18" i="20"/>
  <c r="J15" i="16" l="1"/>
  <c r="J16" i="16" s="1"/>
  <c r="B15" i="20"/>
  <c r="B14" i="20"/>
  <c r="B13" i="20"/>
  <c r="B12" i="20"/>
  <c r="B11" i="20"/>
  <c r="B10" i="20"/>
  <c r="B9" i="20"/>
  <c r="B8" i="20"/>
  <c r="B7" i="20"/>
  <c r="B4" i="20"/>
  <c r="J17" i="16" l="1"/>
  <c r="E3" i="20"/>
  <c r="C7" i="20"/>
  <c r="C11" i="20"/>
  <c r="C8" i="20"/>
  <c r="C12" i="20"/>
  <c r="C13" i="20"/>
  <c r="C4" i="20"/>
  <c r="C10" i="20"/>
  <c r="C14" i="20"/>
  <c r="B2" i="11"/>
  <c r="D2" i="11"/>
  <c r="A2" i="11"/>
  <c r="E2" i="11"/>
  <c r="C2" i="11"/>
  <c r="A16" i="15"/>
  <c r="A15" i="15"/>
  <c r="A14" i="15"/>
  <c r="A13" i="15"/>
  <c r="A12" i="15"/>
  <c r="A11" i="15"/>
  <c r="A10" i="15"/>
  <c r="A9" i="15"/>
  <c r="A8" i="15"/>
  <c r="A7" i="15"/>
  <c r="A6" i="15"/>
  <c r="A5" i="15"/>
  <c r="N9" i="14" l="1"/>
  <c r="N5" i="14"/>
  <c r="O10" i="14"/>
  <c r="N13" i="14"/>
  <c r="O18" i="14"/>
  <c r="N21" i="14"/>
  <c r="O26" i="14"/>
  <c r="N29" i="14"/>
  <c r="O34" i="14"/>
  <c r="N37" i="14"/>
  <c r="O42" i="14"/>
  <c r="N45" i="14"/>
  <c r="O5" i="14"/>
  <c r="N8" i="14"/>
  <c r="O13" i="14"/>
  <c r="N16" i="14"/>
  <c r="O21" i="14"/>
  <c r="N24" i="14"/>
  <c r="O8" i="14"/>
  <c r="N11" i="14"/>
  <c r="O16" i="14"/>
  <c r="N19" i="14"/>
  <c r="B11" i="15"/>
  <c r="N6" i="14"/>
  <c r="O11" i="14"/>
  <c r="N14" i="14"/>
  <c r="O19" i="14"/>
  <c r="O6" i="14"/>
  <c r="O14" i="14"/>
  <c r="N17" i="14"/>
  <c r="O22" i="14"/>
  <c r="N25" i="14"/>
  <c r="N7" i="14"/>
  <c r="O12" i="14"/>
  <c r="N15" i="14"/>
  <c r="O20" i="14"/>
  <c r="N23" i="14"/>
  <c r="O28" i="14"/>
  <c r="N31" i="14"/>
  <c r="O36" i="14"/>
  <c r="N39" i="14"/>
  <c r="O44" i="14"/>
  <c r="N47" i="14"/>
  <c r="O52" i="14"/>
  <c r="N55" i="14"/>
  <c r="N12" i="14"/>
  <c r="N22" i="14"/>
  <c r="N27" i="14"/>
  <c r="N38" i="14"/>
  <c r="O41" i="14"/>
  <c r="O45" i="14"/>
  <c r="O48" i="14"/>
  <c r="O51" i="14"/>
  <c r="O54" i="14"/>
  <c r="O57" i="14"/>
  <c r="O60" i="14"/>
  <c r="N63" i="14"/>
  <c r="O68" i="14"/>
  <c r="N71" i="14"/>
  <c r="O76" i="14"/>
  <c r="N79" i="14"/>
  <c r="O84" i="14"/>
  <c r="N87" i="14"/>
  <c r="O92" i="14"/>
  <c r="N95" i="14"/>
  <c r="O100" i="14"/>
  <c r="N103" i="14"/>
  <c r="O108" i="14"/>
  <c r="N111" i="14"/>
  <c r="O116" i="14"/>
  <c r="N119" i="14"/>
  <c r="O124" i="14"/>
  <c r="N127" i="14"/>
  <c r="O132" i="14"/>
  <c r="N135" i="14"/>
  <c r="O140" i="14"/>
  <c r="N143" i="14"/>
  <c r="O148" i="14"/>
  <c r="N151" i="14"/>
  <c r="O156" i="14"/>
  <c r="N159" i="14"/>
  <c r="O164" i="14"/>
  <c r="N167" i="14"/>
  <c r="O172" i="14"/>
  <c r="N175" i="14"/>
  <c r="O180" i="14"/>
  <c r="N183" i="14"/>
  <c r="O188" i="14"/>
  <c r="O183" i="14"/>
  <c r="O181" i="14"/>
  <c r="O189" i="14"/>
  <c r="O37" i="14"/>
  <c r="N89" i="14"/>
  <c r="O102" i="14"/>
  <c r="N145" i="14"/>
  <c r="O27" i="14"/>
  <c r="O31" i="14"/>
  <c r="N35" i="14"/>
  <c r="O38" i="14"/>
  <c r="N42" i="14"/>
  <c r="N58" i="14"/>
  <c r="O63" i="14"/>
  <c r="N66" i="14"/>
  <c r="O71" i="14"/>
  <c r="N74" i="14"/>
  <c r="O79" i="14"/>
  <c r="N82" i="14"/>
  <c r="O87" i="14"/>
  <c r="N90" i="14"/>
  <c r="O95" i="14"/>
  <c r="N98" i="14"/>
  <c r="O103" i="14"/>
  <c r="N106" i="14"/>
  <c r="O111" i="14"/>
  <c r="N114" i="14"/>
  <c r="O119" i="14"/>
  <c r="N122" i="14"/>
  <c r="O127" i="14"/>
  <c r="N130" i="14"/>
  <c r="O135" i="14"/>
  <c r="N138" i="14"/>
  <c r="O143" i="14"/>
  <c r="N146" i="14"/>
  <c r="O151" i="14"/>
  <c r="N154" i="14"/>
  <c r="O159" i="14"/>
  <c r="N162" i="14"/>
  <c r="O167" i="14"/>
  <c r="N170" i="14"/>
  <c r="O175" i="14"/>
  <c r="N178" i="14"/>
  <c r="N186" i="14"/>
  <c r="N20" i="14"/>
  <c r="O94" i="14"/>
  <c r="N121" i="14"/>
  <c r="O23" i="14"/>
  <c r="N28" i="14"/>
  <c r="N32" i="14"/>
  <c r="O35" i="14"/>
  <c r="N46" i="14"/>
  <c r="N49" i="14"/>
  <c r="N52" i="14"/>
  <c r="O55" i="14"/>
  <c r="O58" i="14"/>
  <c r="N61" i="14"/>
  <c r="O66" i="14"/>
  <c r="N69" i="14"/>
  <c r="O74" i="14"/>
  <c r="N77" i="14"/>
  <c r="O82" i="14"/>
  <c r="N85" i="14"/>
  <c r="O90" i="14"/>
  <c r="N93" i="14"/>
  <c r="O98" i="14"/>
  <c r="N101" i="14"/>
  <c r="O106" i="14"/>
  <c r="N109" i="14"/>
  <c r="O114" i="14"/>
  <c r="N117" i="14"/>
  <c r="O122" i="14"/>
  <c r="N125" i="14"/>
  <c r="O130" i="14"/>
  <c r="N133" i="14"/>
  <c r="O138" i="14"/>
  <c r="N141" i="14"/>
  <c r="O146" i="14"/>
  <c r="N149" i="14"/>
  <c r="O154" i="14"/>
  <c r="N157" i="14"/>
  <c r="O162" i="14"/>
  <c r="N165" i="14"/>
  <c r="O170" i="14"/>
  <c r="N173" i="14"/>
  <c r="O178" i="14"/>
  <c r="N181" i="14"/>
  <c r="O186" i="14"/>
  <c r="N189" i="14"/>
  <c r="O157" i="14"/>
  <c r="N168" i="14"/>
  <c r="N176" i="14"/>
  <c r="N30" i="14"/>
  <c r="O70" i="14"/>
  <c r="O86" i="14"/>
  <c r="N113" i="14"/>
  <c r="O126" i="14"/>
  <c r="O142" i="14"/>
  <c r="O15" i="14"/>
  <c r="O24" i="14"/>
  <c r="O32" i="14"/>
  <c r="O39" i="14"/>
  <c r="N43" i="14"/>
  <c r="O46" i="14"/>
  <c r="O49" i="14"/>
  <c r="O61" i="14"/>
  <c r="N64" i="14"/>
  <c r="O69" i="14"/>
  <c r="N72" i="14"/>
  <c r="O77" i="14"/>
  <c r="N80" i="14"/>
  <c r="O85" i="14"/>
  <c r="N88" i="14"/>
  <c r="O93" i="14"/>
  <c r="N96" i="14"/>
  <c r="O101" i="14"/>
  <c r="N104" i="14"/>
  <c r="O109" i="14"/>
  <c r="N112" i="14"/>
  <c r="O117" i="14"/>
  <c r="N120" i="14"/>
  <c r="O125" i="14"/>
  <c r="N128" i="14"/>
  <c r="O133" i="14"/>
  <c r="N136" i="14"/>
  <c r="O141" i="14"/>
  <c r="N144" i="14"/>
  <c r="O149" i="14"/>
  <c r="N152" i="14"/>
  <c r="N160" i="14"/>
  <c r="O165" i="14"/>
  <c r="O173" i="14"/>
  <c r="N184" i="14"/>
  <c r="O33" i="14"/>
  <c r="N81" i="14"/>
  <c r="N129" i="14"/>
  <c r="O150" i="14"/>
  <c r="O17" i="14"/>
  <c r="O29" i="14"/>
  <c r="N36" i="14"/>
  <c r="N40" i="14"/>
  <c r="O43" i="14"/>
  <c r="N50" i="14"/>
  <c r="N53" i="14"/>
  <c r="N56" i="14"/>
  <c r="N59" i="14"/>
  <c r="O64" i="14"/>
  <c r="N67" i="14"/>
  <c r="O72" i="14"/>
  <c r="N75" i="14"/>
  <c r="O80" i="14"/>
  <c r="N83" i="14"/>
  <c r="O88" i="14"/>
  <c r="N91" i="14"/>
  <c r="O96" i="14"/>
  <c r="N99" i="14"/>
  <c r="O104" i="14"/>
  <c r="N107" i="14"/>
  <c r="O112" i="14"/>
  <c r="N115" i="14"/>
  <c r="O120" i="14"/>
  <c r="N123" i="14"/>
  <c r="O128" i="14"/>
  <c r="N131" i="14"/>
  <c r="O136" i="14"/>
  <c r="N139" i="14"/>
  <c r="O144" i="14"/>
  <c r="N147" i="14"/>
  <c r="O152" i="14"/>
  <c r="N155" i="14"/>
  <c r="O160" i="14"/>
  <c r="N163" i="14"/>
  <c r="O168" i="14"/>
  <c r="N171" i="14"/>
  <c r="O176" i="14"/>
  <c r="N179" i="14"/>
  <c r="O184" i="14"/>
  <c r="N187" i="14"/>
  <c r="O9" i="14"/>
  <c r="N65" i="14"/>
  <c r="O78" i="14"/>
  <c r="N105" i="14"/>
  <c r="O118" i="14"/>
  <c r="O134" i="14"/>
  <c r="O7" i="14"/>
  <c r="N18" i="14"/>
  <c r="O25" i="14"/>
  <c r="N33" i="14"/>
  <c r="O40" i="14"/>
  <c r="O47" i="14"/>
  <c r="O50" i="14"/>
  <c r="O53" i="14"/>
  <c r="O56" i="14"/>
  <c r="O59" i="14"/>
  <c r="N62" i="14"/>
  <c r="O67" i="14"/>
  <c r="N70" i="14"/>
  <c r="O75" i="14"/>
  <c r="N78" i="14"/>
  <c r="O83" i="14"/>
  <c r="N86" i="14"/>
  <c r="O91" i="14"/>
  <c r="N94" i="14"/>
  <c r="O99" i="14"/>
  <c r="N102" i="14"/>
  <c r="O107" i="14"/>
  <c r="N110" i="14"/>
  <c r="O115" i="14"/>
  <c r="N118" i="14"/>
  <c r="O123" i="14"/>
  <c r="N126" i="14"/>
  <c r="O131" i="14"/>
  <c r="N134" i="14"/>
  <c r="O139" i="14"/>
  <c r="N142" i="14"/>
  <c r="O147" i="14"/>
  <c r="N150" i="14"/>
  <c r="O155" i="14"/>
  <c r="N158" i="14"/>
  <c r="O163" i="14"/>
  <c r="N166" i="14"/>
  <c r="O171" i="14"/>
  <c r="N174" i="14"/>
  <c r="O179" i="14"/>
  <c r="N182" i="14"/>
  <c r="O187" i="14"/>
  <c r="N190" i="14"/>
  <c r="N26" i="14"/>
  <c r="N44" i="14"/>
  <c r="O62" i="14"/>
  <c r="N73" i="14"/>
  <c r="N97" i="14"/>
  <c r="O110" i="14"/>
  <c r="N137" i="14"/>
  <c r="N153" i="14"/>
  <c r="N51" i="14"/>
  <c r="O73" i="14"/>
  <c r="N116" i="14"/>
  <c r="O137" i="14"/>
  <c r="O158" i="14"/>
  <c r="N169" i="14"/>
  <c r="O190" i="14"/>
  <c r="N54" i="14"/>
  <c r="N76" i="14"/>
  <c r="O30" i="14"/>
  <c r="N57" i="14"/>
  <c r="N100" i="14"/>
  <c r="O121" i="14"/>
  <c r="N161" i="14"/>
  <c r="O182" i="14"/>
  <c r="N68" i="14"/>
  <c r="O166" i="14"/>
  <c r="N48" i="14"/>
  <c r="O177" i="14"/>
  <c r="O97" i="14"/>
  <c r="N34" i="14"/>
  <c r="N60" i="14"/>
  <c r="O81" i="14"/>
  <c r="N124" i="14"/>
  <c r="O145" i="14"/>
  <c r="O161" i="14"/>
  <c r="N172" i="14"/>
  <c r="O153" i="14"/>
  <c r="N92" i="14"/>
  <c r="N188" i="14"/>
  <c r="O169" i="14"/>
  <c r="N84" i="14"/>
  <c r="O105" i="14"/>
  <c r="N148" i="14"/>
  <c r="O174" i="14"/>
  <c r="N185" i="14"/>
  <c r="N132" i="14"/>
  <c r="N177" i="14"/>
  <c r="N10" i="14"/>
  <c r="O113" i="14"/>
  <c r="N180" i="14"/>
  <c r="N41" i="14"/>
  <c r="O65" i="14"/>
  <c r="N108" i="14"/>
  <c r="O129" i="14"/>
  <c r="N164" i="14"/>
  <c r="O185" i="14"/>
  <c r="O89" i="14"/>
  <c r="N156" i="14"/>
  <c r="N140" i="14"/>
  <c r="J18" i="16"/>
  <c r="J19" i="16" s="1"/>
  <c r="P7" i="14"/>
  <c r="P15" i="14"/>
  <c r="P23" i="14"/>
  <c r="P31" i="14"/>
  <c r="P39" i="14"/>
  <c r="P47" i="14"/>
  <c r="P55" i="14"/>
  <c r="P63" i="14"/>
  <c r="P71" i="14"/>
  <c r="P79" i="14"/>
  <c r="P87" i="14"/>
  <c r="P95" i="14"/>
  <c r="P102" i="14"/>
  <c r="P110" i="14"/>
  <c r="P118" i="14"/>
  <c r="P126" i="14"/>
  <c r="P134" i="14"/>
  <c r="P142" i="14"/>
  <c r="P150" i="14"/>
  <c r="P158" i="14"/>
  <c r="P166" i="14"/>
  <c r="P174" i="14"/>
  <c r="P182" i="14"/>
  <c r="P190" i="14"/>
  <c r="P175" i="14"/>
  <c r="P136" i="14"/>
  <c r="P160" i="14"/>
  <c r="P176" i="14"/>
  <c r="P161" i="14"/>
  <c r="P185" i="14"/>
  <c r="P11" i="14"/>
  <c r="P51" i="14"/>
  <c r="P106" i="14"/>
  <c r="P162" i="14"/>
  <c r="P8" i="14"/>
  <c r="P16" i="14"/>
  <c r="P24" i="14"/>
  <c r="P32" i="14"/>
  <c r="P40" i="14"/>
  <c r="P48" i="14"/>
  <c r="P56" i="14"/>
  <c r="P64" i="14"/>
  <c r="P72" i="14"/>
  <c r="P80" i="14"/>
  <c r="P88" i="14"/>
  <c r="P96" i="14"/>
  <c r="P103" i="14"/>
  <c r="P111" i="14"/>
  <c r="P119" i="14"/>
  <c r="P127" i="14"/>
  <c r="P135" i="14"/>
  <c r="P143" i="14"/>
  <c r="P151" i="14"/>
  <c r="P159" i="14"/>
  <c r="P167" i="14"/>
  <c r="P183" i="14"/>
  <c r="P144" i="14"/>
  <c r="P168" i="14"/>
  <c r="P184" i="14"/>
  <c r="P153" i="14"/>
  <c r="P19" i="14"/>
  <c r="P59" i="14"/>
  <c r="P114" i="14"/>
  <c r="P170" i="14"/>
  <c r="P9" i="14"/>
  <c r="P17" i="14"/>
  <c r="P25" i="14"/>
  <c r="P33" i="14"/>
  <c r="P41" i="14"/>
  <c r="P49" i="14"/>
  <c r="P57" i="14"/>
  <c r="P65" i="14"/>
  <c r="P73" i="14"/>
  <c r="P81" i="14"/>
  <c r="P89" i="14"/>
  <c r="P104" i="14"/>
  <c r="P112" i="14"/>
  <c r="P120" i="14"/>
  <c r="P128" i="14"/>
  <c r="P152" i="14"/>
  <c r="P145" i="14"/>
  <c r="P177" i="14"/>
  <c r="P35" i="14"/>
  <c r="P75" i="14"/>
  <c r="P122" i="14"/>
  <c r="P178" i="14"/>
  <c r="P10" i="14"/>
  <c r="P18" i="14"/>
  <c r="P26" i="14"/>
  <c r="P34" i="14"/>
  <c r="P42" i="14"/>
  <c r="P50" i="14"/>
  <c r="P58" i="14"/>
  <c r="P66" i="14"/>
  <c r="P74" i="14"/>
  <c r="P82" i="14"/>
  <c r="P90" i="14"/>
  <c r="P97" i="14"/>
  <c r="P105" i="14"/>
  <c r="P113" i="14"/>
  <c r="P121" i="14"/>
  <c r="P129" i="14"/>
  <c r="P137" i="14"/>
  <c r="P169" i="14"/>
  <c r="P27" i="14"/>
  <c r="P67" i="14"/>
  <c r="P130" i="14"/>
  <c r="P186" i="14"/>
  <c r="P4" i="14"/>
  <c r="P12" i="14"/>
  <c r="P20" i="14"/>
  <c r="P28" i="14"/>
  <c r="P36" i="14"/>
  <c r="P44" i="14"/>
  <c r="P52" i="14"/>
  <c r="P60" i="14"/>
  <c r="P68" i="14"/>
  <c r="P76" i="14"/>
  <c r="P84" i="14"/>
  <c r="P92" i="14"/>
  <c r="P99" i="14"/>
  <c r="P107" i="14"/>
  <c r="P115" i="14"/>
  <c r="P123" i="14"/>
  <c r="P131" i="14"/>
  <c r="P139" i="14"/>
  <c r="P147" i="14"/>
  <c r="P155" i="14"/>
  <c r="P163" i="14"/>
  <c r="P171" i="14"/>
  <c r="P179" i="14"/>
  <c r="P187" i="14"/>
  <c r="P83" i="14"/>
  <c r="P154" i="14"/>
  <c r="P5" i="14"/>
  <c r="P13" i="14"/>
  <c r="P21" i="14"/>
  <c r="P29" i="14"/>
  <c r="P37" i="14"/>
  <c r="P45" i="14"/>
  <c r="P53" i="14"/>
  <c r="P61" i="14"/>
  <c r="P69" i="14"/>
  <c r="P77" i="14"/>
  <c r="P85" i="14"/>
  <c r="P93" i="14"/>
  <c r="P100" i="14"/>
  <c r="P108" i="14"/>
  <c r="P116" i="14"/>
  <c r="P124" i="14"/>
  <c r="P132" i="14"/>
  <c r="P140" i="14"/>
  <c r="P148" i="14"/>
  <c r="P156" i="14"/>
  <c r="P164" i="14"/>
  <c r="P172" i="14"/>
  <c r="P180" i="14"/>
  <c r="P188" i="14"/>
  <c r="P43" i="14"/>
  <c r="P98" i="14"/>
  <c r="P138" i="14"/>
  <c r="P6" i="14"/>
  <c r="P14" i="14"/>
  <c r="P22" i="14"/>
  <c r="P30" i="14"/>
  <c r="P38" i="14"/>
  <c r="P46" i="14"/>
  <c r="P54" i="14"/>
  <c r="P62" i="14"/>
  <c r="P70" i="14"/>
  <c r="P78" i="14"/>
  <c r="P86" i="14"/>
  <c r="P94" i="14"/>
  <c r="P101" i="14"/>
  <c r="P109" i="14"/>
  <c r="P117" i="14"/>
  <c r="P125" i="14"/>
  <c r="P133" i="14"/>
  <c r="P141" i="14"/>
  <c r="P149" i="14"/>
  <c r="P157" i="14"/>
  <c r="P165" i="14"/>
  <c r="P173" i="14"/>
  <c r="P181" i="14"/>
  <c r="P189" i="14"/>
  <c r="P91" i="14"/>
  <c r="P146" i="14"/>
  <c r="B12" i="15"/>
  <c r="B10" i="15"/>
  <c r="B9" i="15"/>
  <c r="B8" i="15"/>
  <c r="B5" i="15"/>
  <c r="B7" i="15" l="1"/>
  <c r="C15" i="20"/>
  <c r="B13" i="15"/>
  <c r="B6" i="15"/>
  <c r="C18" i="20"/>
  <c r="C16" i="20"/>
  <c r="C17" i="20"/>
  <c r="B14" i="15"/>
  <c r="B15" i="15"/>
  <c r="B16" i="15"/>
  <c r="J20" i="16"/>
  <c r="F3" i="20" l="1"/>
  <c r="D3" i="15"/>
  <c r="J21" i="16"/>
  <c r="J22" i="16" l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J49" i="16" s="1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J67" i="16" s="1"/>
  <c r="J68" i="16" s="1"/>
  <c r="J69" i="16" s="1"/>
  <c r="J70" i="16" s="1"/>
  <c r="J71" i="16" s="1"/>
  <c r="J72" i="16" s="1"/>
  <c r="J73" i="16" s="1"/>
  <c r="J74" i="16" s="1"/>
  <c r="J75" i="16" s="1"/>
  <c r="J76" i="16" s="1"/>
  <c r="J77" i="16" s="1"/>
  <c r="J78" i="16" s="1"/>
  <c r="J79" i="16" s="1"/>
  <c r="J80" i="16" s="1"/>
  <c r="J81" i="16" s="1"/>
  <c r="J82" i="16" s="1"/>
  <c r="J83" i="16" s="1"/>
  <c r="J84" i="16" s="1"/>
  <c r="J85" i="16" s="1"/>
  <c r="J86" i="16" s="1"/>
  <c r="J87" i="16" s="1"/>
  <c r="J88" i="16" s="1"/>
  <c r="J89" i="16" s="1"/>
  <c r="J90" i="16" s="1"/>
  <c r="J91" i="16" s="1"/>
  <c r="J92" i="16" s="1"/>
  <c r="J93" i="16" s="1"/>
  <c r="J94" i="16" s="1"/>
  <c r="J95" i="16" s="1"/>
  <c r="J96" i="16" s="1"/>
  <c r="J97" i="16" s="1"/>
  <c r="J98" i="16" s="1"/>
  <c r="J99" i="16" s="1"/>
  <c r="J100" i="16" s="1"/>
  <c r="J101" i="16" s="1"/>
  <c r="J102" i="16" s="1"/>
  <c r="J103" i="16" s="1"/>
  <c r="J104" i="16" s="1"/>
  <c r="J105" i="16" s="1"/>
  <c r="J106" i="16" s="1"/>
  <c r="J107" i="16" s="1"/>
  <c r="J108" i="16" s="1"/>
  <c r="J109" i="16" s="1"/>
  <c r="J110" i="16" s="1"/>
  <c r="J111" i="16" s="1"/>
  <c r="J112" i="16" s="1"/>
  <c r="J113" i="16" s="1"/>
  <c r="J114" i="16" s="1"/>
  <c r="J115" i="16" s="1"/>
  <c r="J116" i="16" s="1"/>
  <c r="J117" i="16" s="1"/>
  <c r="J118" i="16" s="1"/>
  <c r="J119" i="16" s="1"/>
  <c r="J120" i="16" s="1"/>
  <c r="J121" i="16" s="1"/>
  <c r="J122" i="16" s="1"/>
  <c r="J123" i="16" s="1"/>
  <c r="J124" i="16" s="1"/>
  <c r="J125" i="16" s="1"/>
  <c r="J126" i="16" s="1"/>
  <c r="J127" i="16" s="1"/>
  <c r="J128" i="16" s="1"/>
  <c r="J129" i="16" s="1"/>
  <c r="J130" i="16" s="1"/>
  <c r="J131" i="16" s="1"/>
  <c r="J132" i="16" s="1"/>
  <c r="J133" i="16" s="1"/>
  <c r="J134" i="16" s="1"/>
  <c r="J135" i="16" s="1"/>
  <c r="J136" i="16" s="1"/>
  <c r="J137" i="16" s="1"/>
  <c r="J138" i="16" s="1"/>
  <c r="J139" i="16" s="1"/>
  <c r="J140" i="16" s="1"/>
  <c r="J141" i="16" s="1"/>
  <c r="J142" i="16" s="1"/>
  <c r="J143" i="16" s="1"/>
  <c r="J144" i="16" s="1"/>
  <c r="J145" i="16" s="1"/>
  <c r="J146" i="16" s="1"/>
  <c r="J147" i="16" s="1"/>
  <c r="J148" i="16" s="1"/>
  <c r="J149" i="16" s="1"/>
  <c r="J150" i="16" s="1"/>
  <c r="J151" i="16" s="1"/>
  <c r="J152" i="16" s="1"/>
  <c r="J153" i="16" s="1"/>
  <c r="J154" i="16" s="1"/>
  <c r="J155" i="16" s="1"/>
  <c r="J156" i="16" s="1"/>
  <c r="J157" i="16" s="1"/>
  <c r="J158" i="16" s="1"/>
  <c r="J159" i="16" s="1"/>
  <c r="J160" i="16" s="1"/>
  <c r="J161" i="16" s="1"/>
  <c r="J162" i="16" s="1"/>
  <c r="J163" i="16" s="1"/>
  <c r="J164" i="16" s="1"/>
  <c r="J165" i="16" s="1"/>
  <c r="J166" i="16" s="1"/>
  <c r="J167" i="16" s="1"/>
  <c r="J168" i="16" s="1"/>
  <c r="J169" i="16" s="1"/>
  <c r="J170" i="16" s="1"/>
  <c r="J171" i="16" s="1"/>
  <c r="J172" i="16" s="1"/>
  <c r="J173" i="16" s="1"/>
  <c r="J174" i="16" s="1"/>
  <c r="J175" i="16" s="1"/>
  <c r="J176" i="16" s="1"/>
  <c r="J177" i="16" s="1"/>
  <c r="J178" i="16" s="1"/>
  <c r="J179" i="16" s="1"/>
  <c r="J180" i="16" s="1"/>
  <c r="J181" i="16" s="1"/>
  <c r="J182" i="16" s="1"/>
  <c r="J183" i="16" s="1"/>
  <c r="J184" i="16" s="1"/>
  <c r="J185" i="16" s="1"/>
  <c r="J186" i="16" s="1"/>
  <c r="J187" i="16" s="1"/>
  <c r="J188" i="16" s="1"/>
  <c r="J189" i="16" s="1"/>
  <c r="J190" i="16" s="1"/>
  <c r="J191" i="16" s="1"/>
  <c r="J192" i="16" s="1"/>
  <c r="J193" i="16" s="1"/>
  <c r="J194" i="16" s="1"/>
  <c r="J195" i="16" s="1"/>
  <c r="J196" i="16" s="1"/>
  <c r="J197" i="16" s="1"/>
  <c r="J198" i="16" s="1"/>
  <c r="J199" i="16" s="1"/>
  <c r="J200" i="16" s="1"/>
  <c r="J201" i="16" s="1"/>
  <c r="J202" i="16" s="1"/>
  <c r="J203" i="16" s="1"/>
  <c r="J204" i="16" s="1"/>
  <c r="J205" i="16" s="1"/>
  <c r="J206" i="16" s="1"/>
  <c r="J207" i="16" s="1"/>
  <c r="J208" i="16" s="1"/>
  <c r="J209" i="16" s="1"/>
  <c r="J210" i="16" s="1"/>
  <c r="J211" i="16" s="1"/>
  <c r="J212" i="16" s="1"/>
  <c r="J213" i="16" s="1"/>
  <c r="J214" i="16" s="1"/>
  <c r="J215" i="16" s="1"/>
  <c r="J216" i="16" s="1"/>
  <c r="J217" i="16" s="1"/>
  <c r="J218" i="16" s="1"/>
  <c r="J219" i="16" s="1"/>
  <c r="J220" i="16" s="1"/>
  <c r="J221" i="16" s="1"/>
  <c r="J222" i="16" s="1"/>
  <c r="J223" i="16" s="1"/>
  <c r="J224" i="16" s="1"/>
  <c r="J225" i="16" s="1"/>
  <c r="J226" i="16" s="1"/>
  <c r="J227" i="16" s="1"/>
  <c r="J228" i="16" s="1"/>
  <c r="J229" i="16" s="1"/>
  <c r="J230" i="16" s="1"/>
  <c r="J231" i="16" s="1"/>
  <c r="J232" i="16" s="1"/>
  <c r="J233" i="16" s="1"/>
  <c r="J234" i="16" s="1"/>
  <c r="J235" i="16" s="1"/>
  <c r="J236" i="16" s="1"/>
  <c r="J237" i="16" s="1"/>
  <c r="J238" i="16" s="1"/>
  <c r="J239" i="16" s="1"/>
  <c r="J240" i="16" s="1"/>
  <c r="J241" i="16" s="1"/>
  <c r="J242" i="16" s="1"/>
  <c r="J243" i="16" s="1"/>
  <c r="J244" i="16" s="1"/>
  <c r="J245" i="16" s="1"/>
  <c r="J246" i="16" s="1"/>
  <c r="J247" i="16" s="1"/>
  <c r="J248" i="16" s="1"/>
  <c r="J249" i="16" s="1"/>
  <c r="J250" i="16" s="1"/>
  <c r="J251" i="16" s="1"/>
  <c r="J252" i="16" s="1"/>
  <c r="J253" i="16" s="1"/>
  <c r="J254" i="16" s="1"/>
  <c r="J255" i="16" s="1"/>
  <c r="J256" i="16" s="1"/>
  <c r="J257" i="16" s="1"/>
  <c r="J258" i="16" s="1"/>
  <c r="J259" i="16" s="1"/>
  <c r="J260" i="16" s="1"/>
  <c r="J261" i="16" s="1"/>
  <c r="J262" i="16" s="1"/>
  <c r="J263" i="16" s="1"/>
  <c r="J264" i="16" s="1"/>
  <c r="J265" i="16" s="1"/>
  <c r="J266" i="16" s="1"/>
  <c r="J267" i="16" s="1"/>
  <c r="J268" i="16" s="1"/>
  <c r="J269" i="16" s="1"/>
  <c r="J270" i="16" s="1"/>
  <c r="J271" i="16" s="1"/>
  <c r="J272" i="16" s="1"/>
  <c r="J273" i="16" s="1"/>
  <c r="J274" i="16" s="1"/>
  <c r="J275" i="16" s="1"/>
  <c r="J276" i="16" s="1"/>
  <c r="J277" i="16" s="1"/>
  <c r="J278" i="16" s="1"/>
  <c r="J279" i="16" s="1"/>
  <c r="J280" i="16" s="1"/>
  <c r="J281" i="16" s="1"/>
  <c r="J282" i="16" s="1"/>
  <c r="J283" i="16" s="1"/>
  <c r="J284" i="16" s="1"/>
  <c r="J285" i="16" s="1"/>
  <c r="J286" i="16" s="1"/>
  <c r="J287" i="16" s="1"/>
  <c r="J288" i="16" s="1"/>
  <c r="J289" i="16" s="1"/>
  <c r="J290" i="16" s="1"/>
  <c r="J291" i="16" s="1"/>
  <c r="J292" i="16" s="1"/>
  <c r="J293" i="16" s="1"/>
  <c r="J294" i="16" s="1"/>
  <c r="J295" i="16" s="1"/>
  <c r="J296" i="16" s="1"/>
  <c r="J297" i="16" s="1"/>
  <c r="J298" i="16" s="1"/>
  <c r="J299" i="16" s="1"/>
  <c r="J300" i="16" s="1"/>
  <c r="J301" i="16" s="1"/>
  <c r="J302" i="16" s="1"/>
  <c r="J303" i="16" s="1"/>
  <c r="J304" i="16" s="1"/>
  <c r="J305" i="16" s="1"/>
  <c r="J306" i="16" s="1"/>
  <c r="J307" i="16" s="1"/>
  <c r="J308" i="16" s="1"/>
  <c r="J309" i="16" s="1"/>
  <c r="J310" i="16" s="1"/>
  <c r="J311" i="16" s="1"/>
  <c r="J312" i="16" s="1"/>
  <c r="J313" i="16" s="1"/>
  <c r="J314" i="16" s="1"/>
  <c r="J315" i="16" s="1"/>
  <c r="J316" i="16" s="1"/>
  <c r="J317" i="16" s="1"/>
  <c r="J318" i="16" s="1"/>
  <c r="J319" i="16" s="1"/>
  <c r="J320" i="16" s="1"/>
  <c r="J321" i="16" s="1"/>
  <c r="J322" i="16" s="1"/>
  <c r="J323" i="16" s="1"/>
  <c r="J324" i="16" s="1"/>
  <c r="J325" i="16" s="1"/>
  <c r="J326" i="16" s="1"/>
  <c r="J327" i="16" s="1"/>
  <c r="J328" i="16" s="1"/>
  <c r="J329" i="16" s="1"/>
  <c r="J330" i="16" s="1"/>
  <c r="J331" i="16" s="1"/>
  <c r="J332" i="16" s="1"/>
  <c r="J333" i="16" s="1"/>
  <c r="J334" i="16" s="1"/>
  <c r="J335" i="16" s="1"/>
  <c r="J336" i="16" s="1"/>
  <c r="J337" i="16" s="1"/>
  <c r="J338" i="16" s="1"/>
  <c r="J339" i="16" s="1"/>
  <c r="J340" i="16" s="1"/>
  <c r="J341" i="16" s="1"/>
  <c r="J342" i="16" s="1"/>
  <c r="J343" i="16" s="1"/>
  <c r="J344" i="16" s="1"/>
  <c r="J345" i="16" s="1"/>
  <c r="J346" i="16" s="1"/>
  <c r="J347" i="16" s="1"/>
  <c r="J348" i="16" s="1"/>
  <c r="J349" i="16" s="1"/>
  <c r="J350" i="16" s="1"/>
  <c r="J351" i="16" s="1"/>
  <c r="J352" i="16" s="1"/>
  <c r="J353" i="16" s="1"/>
  <c r="J354" i="16" s="1"/>
  <c r="J355" i="16" s="1"/>
  <c r="J356" i="16" s="1"/>
  <c r="J357" i="16" s="1"/>
  <c r="J358" i="16" s="1"/>
  <c r="J359" i="16" s="1"/>
  <c r="J360" i="16" s="1"/>
  <c r="J361" i="16" s="1"/>
  <c r="J362" i="16" s="1"/>
  <c r="J363" i="16" s="1"/>
  <c r="J364" i="16" s="1"/>
  <c r="J365" i="16" s="1"/>
  <c r="J366" i="16" s="1"/>
  <c r="J367" i="16" s="1"/>
  <c r="J368" i="16" s="1"/>
  <c r="J369" i="16" s="1"/>
  <c r="J370" i="16" s="1"/>
  <c r="J371" i="16" s="1"/>
  <c r="J372" i="16" s="1"/>
  <c r="J373" i="16" s="1"/>
  <c r="J374" i="16" s="1"/>
  <c r="J375" i="16" s="1"/>
  <c r="J376" i="16" s="1"/>
  <c r="J377" i="16" s="1"/>
  <c r="J378" i="16" s="1"/>
  <c r="J379" i="16" s="1"/>
  <c r="J380" i="16" s="1"/>
  <c r="J381" i="16" s="1"/>
  <c r="J382" i="16" s="1"/>
  <c r="J383" i="16" s="1"/>
  <c r="J384" i="16" s="1"/>
  <c r="J385" i="16" s="1"/>
  <c r="J386" i="16" s="1"/>
  <c r="J387" i="16" s="1"/>
  <c r="J388" i="16" s="1"/>
  <c r="J389" i="16" s="1"/>
  <c r="J390" i="16" s="1"/>
  <c r="J391" i="16" s="1"/>
  <c r="J392" i="16" s="1"/>
  <c r="J393" i="16" s="1"/>
  <c r="J394" i="16" s="1"/>
  <c r="J395" i="16" s="1"/>
  <c r="J396" i="16" s="1"/>
  <c r="J397" i="16" s="1"/>
  <c r="J398" i="16" s="1"/>
  <c r="J399" i="16" s="1"/>
  <c r="J400" i="16" s="1"/>
  <c r="J401" i="16" s="1"/>
  <c r="J402" i="16" s="1"/>
  <c r="J403" i="16" s="1"/>
  <c r="J404" i="16" s="1"/>
  <c r="J405" i="16" s="1"/>
  <c r="J406" i="16" s="1"/>
  <c r="J407" i="16" s="1"/>
  <c r="J408" i="16" s="1"/>
  <c r="J409" i="16" s="1"/>
  <c r="J410" i="16" s="1"/>
  <c r="J411" i="16" s="1"/>
  <c r="J412" i="16" s="1"/>
  <c r="J413" i="16" s="1"/>
  <c r="J414" i="16" s="1"/>
  <c r="J415" i="16" s="1"/>
  <c r="J416" i="16" s="1"/>
  <c r="J417" i="16" s="1"/>
  <c r="J418" i="16" s="1"/>
  <c r="J419" i="16" s="1"/>
  <c r="J420" i="16" s="1"/>
  <c r="J421" i="16" s="1"/>
  <c r="J422" i="16" s="1"/>
  <c r="J423" i="16" s="1"/>
  <c r="J424" i="16" s="1"/>
  <c r="J425" i="16" s="1"/>
  <c r="J426" i="16" s="1"/>
  <c r="J427" i="16" s="1"/>
  <c r="J428" i="16" s="1"/>
  <c r="J429" i="16" s="1"/>
  <c r="J430" i="16" s="1"/>
  <c r="J431" i="16" s="1"/>
  <c r="J432" i="16" s="1"/>
  <c r="J433" i="16" s="1"/>
  <c r="J434" i="16" s="1"/>
  <c r="J435" i="16" s="1"/>
  <c r="J436" i="16" s="1"/>
  <c r="J437" i="16" s="1"/>
  <c r="J438" i="16" s="1"/>
  <c r="J439" i="16" s="1"/>
  <c r="J440" i="16" s="1"/>
  <c r="J441" i="16" s="1"/>
  <c r="J442" i="16" s="1"/>
  <c r="J443" i="16" s="1"/>
  <c r="J444" i="16" s="1"/>
  <c r="J445" i="16" s="1"/>
  <c r="J446" i="16" s="1"/>
  <c r="J447" i="16" s="1"/>
  <c r="J448" i="16" s="1"/>
  <c r="J449" i="16" s="1"/>
  <c r="J450" i="16" s="1"/>
  <c r="J451" i="16" s="1"/>
  <c r="J452" i="16" s="1"/>
  <c r="J453" i="16" s="1"/>
  <c r="J454" i="16" s="1"/>
  <c r="J455" i="16" s="1"/>
  <c r="J456" i="16" s="1"/>
  <c r="J457" i="16" s="1"/>
  <c r="J458" i="16" s="1"/>
  <c r="J459" i="16" s="1"/>
  <c r="J460" i="16" s="1"/>
  <c r="J461" i="16" s="1"/>
  <c r="J462" i="16" s="1"/>
  <c r="J463" i="16" s="1"/>
  <c r="J464" i="16" s="1"/>
  <c r="J465" i="16" s="1"/>
  <c r="J466" i="16" s="1"/>
  <c r="J467" i="16" s="1"/>
  <c r="J468" i="16" s="1"/>
  <c r="J469" i="16" s="1"/>
  <c r="J470" i="16" s="1"/>
  <c r="J471" i="16" s="1"/>
  <c r="J472" i="16" s="1"/>
  <c r="J473" i="16" s="1"/>
  <c r="J474" i="16" s="1"/>
  <c r="J475" i="16" s="1"/>
  <c r="J476" i="16" s="1"/>
  <c r="J477" i="16" s="1"/>
  <c r="J478" i="16" s="1"/>
  <c r="J479" i="16" s="1"/>
  <c r="J480" i="16" s="1"/>
  <c r="J481" i="16" s="1"/>
  <c r="J482" i="16" s="1"/>
  <c r="J483" i="16" s="1"/>
  <c r="J484" i="16" s="1"/>
  <c r="J485" i="16" s="1"/>
  <c r="J486" i="16" s="1"/>
  <c r="J487" i="16" s="1"/>
  <c r="J488" i="16" s="1"/>
  <c r="J489" i="16" s="1"/>
  <c r="J490" i="16" s="1"/>
  <c r="J491" i="16" s="1"/>
  <c r="J492" i="16" s="1"/>
  <c r="J493" i="16" s="1"/>
  <c r="J494" i="16" s="1"/>
  <c r="J495" i="16" s="1"/>
  <c r="J496" i="16" s="1"/>
  <c r="J497" i="16" s="1"/>
  <c r="J498" i="16" s="1"/>
  <c r="J499" i="16" s="1"/>
  <c r="J500" i="16" s="1"/>
  <c r="J501" i="16" s="1"/>
  <c r="J502" i="16" s="1"/>
  <c r="J503" i="16" s="1"/>
  <c r="J504" i="16" s="1"/>
  <c r="J505" i="16" s="1"/>
  <c r="J506" i="16" s="1"/>
  <c r="J507" i="16" s="1"/>
  <c r="J508" i="16" s="1"/>
  <c r="J509" i="16" s="1"/>
  <c r="J510" i="16" s="1"/>
  <c r="J511" i="16" s="1"/>
  <c r="J512" i="16" s="1"/>
  <c r="J513" i="16" s="1"/>
  <c r="J514" i="16" s="1"/>
  <c r="J515" i="16" s="1"/>
  <c r="J516" i="16" s="1"/>
  <c r="J517" i="16" s="1"/>
  <c r="J518" i="16" s="1"/>
  <c r="J519" i="16" s="1"/>
  <c r="J520" i="16" s="1"/>
  <c r="J521" i="16" s="1"/>
  <c r="J522" i="16" s="1"/>
  <c r="J523" i="16" s="1"/>
  <c r="J524" i="16" s="1"/>
  <c r="J525" i="16" s="1"/>
  <c r="J526" i="16" s="1"/>
  <c r="J527" i="16" s="1"/>
  <c r="J528" i="16" s="1"/>
  <c r="J529" i="16" s="1"/>
  <c r="J530" i="16" s="1"/>
  <c r="J531" i="16" s="1"/>
  <c r="J532" i="16" s="1"/>
  <c r="J533" i="16" s="1"/>
  <c r="J534" i="16" s="1"/>
  <c r="J535" i="16" s="1"/>
  <c r="J536" i="16" s="1"/>
  <c r="J537" i="16" s="1"/>
  <c r="J538" i="16" s="1"/>
  <c r="J539" i="16" s="1"/>
  <c r="J540" i="16" s="1"/>
  <c r="J541" i="16" s="1"/>
  <c r="J542" i="16" s="1"/>
  <c r="J543" i="16" s="1"/>
  <c r="J544" i="16" s="1"/>
  <c r="J545" i="16" s="1"/>
  <c r="J546" i="16" s="1"/>
  <c r="J547" i="16" s="1"/>
  <c r="J548" i="16" s="1"/>
  <c r="J549" i="16" s="1"/>
  <c r="J550" i="16" s="1"/>
  <c r="J551" i="16" s="1"/>
  <c r="J552" i="16" s="1"/>
  <c r="J553" i="16" s="1"/>
  <c r="J554" i="16" s="1"/>
  <c r="J555" i="16" s="1"/>
  <c r="J556" i="16" s="1"/>
  <c r="J557" i="16" s="1"/>
  <c r="J558" i="16" s="1"/>
  <c r="J559" i="16" s="1"/>
  <c r="J560" i="16" s="1"/>
  <c r="J561" i="16" s="1"/>
  <c r="J562" i="16" s="1"/>
  <c r="J563" i="16" s="1"/>
  <c r="J564" i="16" s="1"/>
  <c r="J565" i="16" s="1"/>
  <c r="J566" i="16" s="1"/>
  <c r="J567" i="16" s="1"/>
  <c r="J568" i="16" s="1"/>
  <c r="J569" i="16" s="1"/>
  <c r="J570" i="16" s="1"/>
  <c r="J571" i="16" s="1"/>
  <c r="J572" i="16" s="1"/>
  <c r="J573" i="16" s="1"/>
  <c r="J574" i="16" s="1"/>
  <c r="J575" i="16" s="1"/>
  <c r="J576" i="16" s="1"/>
  <c r="J577" i="16" s="1"/>
  <c r="J578" i="16" s="1"/>
  <c r="J579" i="16" s="1"/>
  <c r="J580" i="16" s="1"/>
  <c r="J581" i="16" s="1"/>
  <c r="J582" i="16" s="1"/>
  <c r="J583" i="16" s="1"/>
  <c r="J584" i="16" s="1"/>
  <c r="J585" i="16" s="1"/>
  <c r="J586" i="16" s="1"/>
  <c r="J587" i="16" s="1"/>
  <c r="J588" i="16" s="1"/>
  <c r="J589" i="16" s="1"/>
  <c r="J590" i="16" s="1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J722" i="16" s="1"/>
  <c r="J723" i="16" s="1"/>
  <c r="J724" i="16" s="1"/>
  <c r="J725" i="16" s="1"/>
  <c r="J726" i="16" s="1"/>
  <c r="J727" i="16" s="1"/>
  <c r="J728" i="16" s="1"/>
  <c r="J729" i="16" s="1"/>
  <c r="J730" i="16" s="1"/>
  <c r="J731" i="16" s="1"/>
  <c r="J732" i="16" s="1"/>
  <c r="J733" i="16" s="1"/>
  <c r="J734" i="16" s="1"/>
  <c r="J735" i="16" s="1"/>
  <c r="J736" i="16" s="1"/>
  <c r="J737" i="16" s="1"/>
  <c r="J738" i="16" s="1"/>
  <c r="J739" i="16" s="1"/>
  <c r="J740" i="16" s="1"/>
  <c r="J741" i="16" s="1"/>
  <c r="J742" i="16" s="1"/>
  <c r="J743" i="16" s="1"/>
  <c r="J744" i="16" s="1"/>
  <c r="J745" i="16" s="1"/>
  <c r="J746" i="16" s="1"/>
  <c r="J747" i="16" s="1"/>
  <c r="J748" i="16" s="1"/>
  <c r="J749" i="16" s="1"/>
  <c r="J750" i="16" s="1"/>
  <c r="J751" i="16" s="1"/>
  <c r="J752" i="16" s="1"/>
  <c r="J753" i="16" s="1"/>
  <c r="J754" i="16" s="1"/>
  <c r="J755" i="16" s="1"/>
  <c r="J756" i="16" s="1"/>
  <c r="J757" i="16" s="1"/>
  <c r="J758" i="16" s="1"/>
  <c r="J759" i="16" s="1"/>
  <c r="J760" i="16" s="1"/>
  <c r="J761" i="16" s="1"/>
  <c r="J762" i="16" s="1"/>
  <c r="J763" i="16" s="1"/>
  <c r="J764" i="16" s="1"/>
  <c r="J765" i="16" s="1"/>
  <c r="J766" i="16" s="1"/>
  <c r="J767" i="16" s="1"/>
  <c r="J768" i="16" s="1"/>
  <c r="J769" i="16" s="1"/>
  <c r="J770" i="16" s="1"/>
  <c r="J771" i="16" s="1"/>
  <c r="J772" i="16" s="1"/>
  <c r="J773" i="16" s="1"/>
  <c r="J774" i="16" s="1"/>
  <c r="J775" i="16" s="1"/>
  <c r="J776" i="16" s="1"/>
  <c r="J777" i="16" s="1"/>
  <c r="J778" i="16" s="1"/>
  <c r="J779" i="16" s="1"/>
  <c r="J780" i="16" s="1"/>
  <c r="J781" i="16" s="1"/>
  <c r="J782" i="16" s="1"/>
  <c r="J783" i="16" s="1"/>
  <c r="J784" i="16" s="1"/>
  <c r="J785" i="16" s="1"/>
  <c r="J786" i="16" s="1"/>
  <c r="J787" i="16" s="1"/>
  <c r="J788" i="16" s="1"/>
  <c r="J789" i="16" s="1"/>
  <c r="J790" i="16" s="1"/>
  <c r="J791" i="16" s="1"/>
  <c r="J792" i="16" s="1"/>
  <c r="J793" i="16" s="1"/>
  <c r="J794" i="16" s="1"/>
  <c r="J795" i="16" s="1"/>
  <c r="J796" i="16" s="1"/>
  <c r="J797" i="16" s="1"/>
  <c r="J798" i="16" s="1"/>
  <c r="J799" i="16" s="1"/>
  <c r="J800" i="16" s="1"/>
  <c r="J801" i="16" s="1"/>
  <c r="J802" i="16" s="1"/>
  <c r="J803" i="16" s="1"/>
  <c r="J804" i="16" s="1"/>
  <c r="J805" i="16" s="1"/>
  <c r="J806" i="16" s="1"/>
  <c r="J807" i="16" s="1"/>
  <c r="J808" i="16" s="1"/>
  <c r="J809" i="16" s="1"/>
  <c r="J810" i="16" s="1"/>
  <c r="J811" i="16" s="1"/>
  <c r="J812" i="16" s="1"/>
  <c r="J813" i="16" s="1"/>
  <c r="J814" i="16" s="1"/>
  <c r="J815" i="16" s="1"/>
  <c r="J816" i="16" s="1"/>
  <c r="J817" i="16" s="1"/>
  <c r="J818" i="16" s="1"/>
  <c r="J819" i="16" s="1"/>
  <c r="J820" i="16" s="1"/>
  <c r="J821" i="16" s="1"/>
  <c r="J822" i="16" s="1"/>
  <c r="J823" i="16" s="1"/>
  <c r="J824" i="16" s="1"/>
  <c r="J825" i="16" s="1"/>
  <c r="J826" i="16" s="1"/>
  <c r="J827" i="16" s="1"/>
  <c r="J828" i="16" s="1"/>
  <c r="J829" i="16" s="1"/>
  <c r="J830" i="16" s="1"/>
  <c r="J831" i="16" s="1"/>
  <c r="J832" i="16" s="1"/>
  <c r="J833" i="16" s="1"/>
  <c r="J834" i="16" s="1"/>
  <c r="J835" i="16" s="1"/>
  <c r="J836" i="16" s="1"/>
  <c r="J837" i="16" s="1"/>
  <c r="J838" i="16" s="1"/>
  <c r="J839" i="16" s="1"/>
  <c r="J840" i="16" s="1"/>
  <c r="J841" i="16" s="1"/>
  <c r="J842" i="16" s="1"/>
  <c r="J843" i="16" s="1"/>
  <c r="J844" i="16" s="1"/>
  <c r="J845" i="16" s="1"/>
  <c r="J846" i="16" s="1"/>
  <c r="J847" i="16" s="1"/>
  <c r="J848" i="16" s="1"/>
  <c r="J849" i="16" s="1"/>
  <c r="J850" i="16" s="1"/>
  <c r="J851" i="16" s="1"/>
  <c r="J852" i="16" s="1"/>
  <c r="J853" i="16" s="1"/>
  <c r="J854" i="16" s="1"/>
  <c r="J855" i="16" s="1"/>
  <c r="J856" i="16" s="1"/>
  <c r="J857" i="16" s="1"/>
  <c r="J858" i="16" s="1"/>
  <c r="J859" i="16" s="1"/>
  <c r="J860" i="16" s="1"/>
  <c r="J861" i="16" s="1"/>
  <c r="J862" i="16" s="1"/>
  <c r="J863" i="16" s="1"/>
  <c r="J864" i="16" s="1"/>
  <c r="J865" i="16" s="1"/>
  <c r="J866" i="16" s="1"/>
  <c r="J867" i="16" s="1"/>
  <c r="J868" i="16" s="1"/>
  <c r="J869" i="16" s="1"/>
  <c r="J870" i="16" s="1"/>
  <c r="J871" i="16" s="1"/>
  <c r="J872" i="16" s="1"/>
  <c r="J873" i="16" s="1"/>
  <c r="J874" i="16" s="1"/>
  <c r="J875" i="16" s="1"/>
  <c r="J876" i="16" s="1"/>
  <c r="J877" i="16" s="1"/>
  <c r="J878" i="16" s="1"/>
  <c r="J879" i="16" s="1"/>
  <c r="J880" i="16" s="1"/>
  <c r="J881" i="16" s="1"/>
  <c r="J882" i="16" s="1"/>
  <c r="J883" i="16" s="1"/>
  <c r="J884" i="16" s="1"/>
  <c r="J885" i="16" s="1"/>
  <c r="J886" i="16" s="1"/>
  <c r="J887" i="16" s="1"/>
  <c r="J888" i="16" s="1"/>
  <c r="J889" i="16" s="1"/>
  <c r="J890" i="16" s="1"/>
  <c r="J891" i="16" s="1"/>
  <c r="J892" i="16" s="1"/>
  <c r="J893" i="16" s="1"/>
  <c r="J894" i="16" s="1"/>
  <c r="J895" i="16" s="1"/>
  <c r="J896" i="16" s="1"/>
  <c r="J897" i="16" s="1"/>
  <c r="J898" i="16" s="1"/>
  <c r="J899" i="16" s="1"/>
  <c r="J900" i="16" s="1"/>
  <c r="J901" i="16" s="1"/>
  <c r="J902" i="16" s="1"/>
  <c r="J903" i="16" s="1"/>
  <c r="J904" i="16" s="1"/>
  <c r="J905" i="16" s="1"/>
  <c r="J906" i="16" s="1"/>
  <c r="J907" i="16" s="1"/>
  <c r="J908" i="16" s="1"/>
  <c r="J909" i="16" s="1"/>
  <c r="J910" i="16" s="1"/>
  <c r="J911" i="16" s="1"/>
  <c r="J912" i="16" s="1"/>
  <c r="J913" i="16" s="1"/>
  <c r="J914" i="16" s="1"/>
  <c r="J915" i="16" s="1"/>
  <c r="J916" i="16" s="1"/>
  <c r="J917" i="16" s="1"/>
  <c r="J918" i="16" s="1"/>
  <c r="J919" i="16" s="1"/>
  <c r="J920" i="16" s="1"/>
  <c r="J921" i="16" s="1"/>
  <c r="J922" i="16" s="1"/>
  <c r="J923" i="16" s="1"/>
  <c r="J924" i="16" s="1"/>
  <c r="J925" i="16" s="1"/>
  <c r="J926" i="16" s="1"/>
  <c r="J927" i="16" s="1"/>
  <c r="J928" i="16" s="1"/>
  <c r="J929" i="16" s="1"/>
  <c r="J930" i="16" s="1"/>
  <c r="J931" i="16" s="1"/>
  <c r="J932" i="16" s="1"/>
  <c r="J933" i="16" s="1"/>
  <c r="J934" i="16" s="1"/>
  <c r="J935" i="16" s="1"/>
  <c r="J936" i="16" s="1"/>
  <c r="J937" i="16" s="1"/>
  <c r="J938" i="16" s="1"/>
  <c r="J939" i="16" s="1"/>
  <c r="J940" i="16" s="1"/>
  <c r="J941" i="16" s="1"/>
  <c r="J942" i="16" s="1"/>
  <c r="J943" i="16" s="1"/>
  <c r="J944" i="16" s="1"/>
  <c r="J945" i="16" s="1"/>
  <c r="J946" i="16" s="1"/>
  <c r="J947" i="16" s="1"/>
  <c r="J948" i="16" s="1"/>
  <c r="J949" i="16" s="1"/>
  <c r="J950" i="16" s="1"/>
  <c r="J951" i="16" s="1"/>
  <c r="J952" i="16" s="1"/>
  <c r="J953" i="16" s="1"/>
  <c r="J954" i="16" s="1"/>
  <c r="J955" i="16" s="1"/>
  <c r="J956" i="16" s="1"/>
  <c r="J957" i="16" s="1"/>
  <c r="J958" i="16" s="1"/>
  <c r="J959" i="16" s="1"/>
  <c r="J960" i="16" s="1"/>
  <c r="J961" i="16" s="1"/>
  <c r="J962" i="16" s="1"/>
  <c r="J963" i="16" s="1"/>
  <c r="J964" i="16" s="1"/>
  <c r="J965" i="16" s="1"/>
  <c r="J966" i="16" s="1"/>
  <c r="J967" i="16" s="1"/>
  <c r="J968" i="16" s="1"/>
  <c r="J969" i="16" s="1"/>
  <c r="J970" i="16" s="1"/>
  <c r="J971" i="16" s="1"/>
  <c r="J972" i="16" s="1"/>
  <c r="J973" i="16" s="1"/>
  <c r="J974" i="16" s="1"/>
  <c r="J975" i="16" s="1"/>
  <c r="J976" i="16" s="1"/>
  <c r="J977" i="16" s="1"/>
  <c r="J978" i="16" s="1"/>
  <c r="J979" i="16" s="1"/>
  <c r="J980" i="16" s="1"/>
  <c r="J981" i="16" s="1"/>
  <c r="J982" i="16" s="1"/>
  <c r="J983" i="16" s="1"/>
  <c r="J984" i="16" s="1"/>
  <c r="J985" i="16" s="1"/>
  <c r="J986" i="16" s="1"/>
  <c r="J987" i="16" s="1"/>
  <c r="J988" i="16" s="1"/>
  <c r="J989" i="16" s="1"/>
  <c r="J990" i="16" s="1"/>
  <c r="J991" i="16" s="1"/>
  <c r="J992" i="16" s="1"/>
  <c r="J993" i="16" s="1"/>
  <c r="J994" i="16" s="1"/>
  <c r="J995" i="16" s="1"/>
  <c r="J996" i="16" s="1"/>
  <c r="J997" i="16" s="1"/>
  <c r="J998" i="16" s="1"/>
  <c r="J999" i="16" s="1"/>
  <c r="J1000" i="16" s="1"/>
  <c r="J1001" i="16" s="1"/>
  <c r="J1002" i="16" s="1"/>
  <c r="J1003" i="16" s="1"/>
  <c r="J1004" i="16" s="1"/>
  <c r="J1005" i="16" s="1"/>
  <c r="J1006" i="16" s="1"/>
  <c r="J1007" i="16" s="1"/>
  <c r="J1008" i="16" s="1"/>
  <c r="J1009" i="16" s="1"/>
  <c r="J1010" i="16" s="1"/>
  <c r="J1011" i="16" s="1"/>
  <c r="J1012" i="16" s="1"/>
  <c r="J1013" i="16" s="1"/>
  <c r="J1014" i="16" s="1"/>
  <c r="J1015" i="16" s="1"/>
  <c r="J1016" i="16" s="1"/>
  <c r="J1017" i="16" s="1"/>
  <c r="J1018" i="16" s="1"/>
  <c r="J1019" i="16" s="1"/>
  <c r="J1020" i="16" s="1"/>
  <c r="J1021" i="16" s="1"/>
  <c r="J1022" i="16" s="1"/>
  <c r="J1023" i="16" s="1"/>
  <c r="J1024" i="16" s="1"/>
  <c r="J1025" i="16" s="1"/>
  <c r="J1026" i="16" s="1"/>
  <c r="J1027" i="16" s="1"/>
  <c r="J1028" i="16" s="1"/>
  <c r="J1029" i="16" s="1"/>
  <c r="J1030" i="16" s="1"/>
  <c r="J1031" i="16" s="1"/>
  <c r="J1032" i="16" s="1"/>
  <c r="J1033" i="16" s="1"/>
  <c r="J1034" i="16" s="1"/>
  <c r="J1035" i="16" s="1"/>
  <c r="J1036" i="16" s="1"/>
  <c r="J1037" i="16" s="1"/>
  <c r="J1038" i="16" s="1"/>
  <c r="J1039" i="16" s="1"/>
  <c r="J1040" i="16" s="1"/>
  <c r="J1041" i="16" s="1"/>
  <c r="J1042" i="16" s="1"/>
  <c r="J1043" i="16" s="1"/>
  <c r="J1044" i="16" s="1"/>
  <c r="J1045" i="16" s="1"/>
  <c r="J1046" i="16" s="1"/>
  <c r="J1047" i="16" s="1"/>
  <c r="J1048" i="16" s="1"/>
  <c r="J1049" i="16" s="1"/>
  <c r="J1050" i="16" s="1"/>
  <c r="J1051" i="16" s="1"/>
  <c r="J1052" i="16" s="1"/>
  <c r="J1053" i="16" s="1"/>
  <c r="J1054" i="16" s="1"/>
  <c r="J1055" i="16" s="1"/>
  <c r="J1056" i="16" s="1"/>
  <c r="J1057" i="16" s="1"/>
  <c r="J1058" i="16" s="1"/>
  <c r="J1059" i="16" s="1"/>
  <c r="J1060" i="16" s="1"/>
  <c r="J1061" i="16" s="1"/>
  <c r="J1062" i="16" s="1"/>
  <c r="J1063" i="16" s="1"/>
  <c r="J1064" i="16" s="1"/>
  <c r="J1065" i="16" s="1"/>
  <c r="J1066" i="16" s="1"/>
  <c r="J1067" i="16" s="1"/>
  <c r="J1068" i="16" s="1"/>
  <c r="J1069" i="16" s="1"/>
  <c r="J1070" i="16" s="1"/>
  <c r="J1071" i="16" s="1"/>
  <c r="J1072" i="16" s="1"/>
  <c r="J1073" i="16" s="1"/>
  <c r="J1074" i="16" s="1"/>
  <c r="J1075" i="16" s="1"/>
  <c r="J1076" i="16" s="1"/>
  <c r="J1077" i="16" s="1"/>
  <c r="J1078" i="16" s="1"/>
  <c r="J1079" i="16" s="1"/>
  <c r="J1080" i="16" s="1"/>
  <c r="J1081" i="16" s="1"/>
  <c r="J1082" i="16" s="1"/>
  <c r="J1083" i="16" s="1"/>
  <c r="J1084" i="16" s="1"/>
  <c r="J1085" i="16" s="1"/>
  <c r="J1086" i="16" s="1"/>
  <c r="J1087" i="16" s="1"/>
  <c r="J1088" i="16" s="1"/>
  <c r="J1089" i="16" s="1"/>
  <c r="J1090" i="16" s="1"/>
  <c r="J1091" i="16" s="1"/>
  <c r="J1092" i="16" s="1"/>
  <c r="J1093" i="16" s="1"/>
  <c r="J1094" i="16" s="1"/>
  <c r="J1095" i="16" s="1"/>
  <c r="J1096" i="16" s="1"/>
  <c r="J1097" i="16" s="1"/>
  <c r="J1098" i="16" s="1"/>
  <c r="J1099" i="16" s="1"/>
  <c r="J1100" i="16" s="1"/>
  <c r="J1101" i="16" s="1"/>
  <c r="J1102" i="16" s="1"/>
  <c r="J1103" i="16" s="1"/>
  <c r="J1104" i="16" s="1"/>
  <c r="J1105" i="16" s="1"/>
  <c r="J1106" i="16" s="1"/>
  <c r="J1107" i="16" s="1"/>
  <c r="J1108" i="16" s="1"/>
  <c r="J1109" i="16" s="1"/>
  <c r="J1110" i="16" s="1"/>
  <c r="J1111" i="16" s="1"/>
  <c r="J1112" i="16" s="1"/>
  <c r="J1113" i="16" s="1"/>
  <c r="J1114" i="16" s="1"/>
  <c r="J1115" i="16" s="1"/>
  <c r="J1116" i="16" s="1"/>
  <c r="J1117" i="16" s="1"/>
  <c r="J1118" i="16" s="1"/>
  <c r="J1119" i="16" s="1"/>
  <c r="J1120" i="16" s="1"/>
  <c r="J1121" i="16" s="1"/>
  <c r="J1122" i="16" s="1"/>
  <c r="J1123" i="16" s="1"/>
  <c r="J1124" i="16" s="1"/>
  <c r="J1125" i="16" s="1"/>
  <c r="J1126" i="16" s="1"/>
  <c r="J1127" i="16" s="1"/>
  <c r="J1128" i="16" s="1"/>
  <c r="J1129" i="16" s="1"/>
  <c r="J1130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2B88CC-9D3F-4077-B955-6F99ECD9C9EE}" keepAlive="1" name="쿼리 - 3月24日22時　全国主要地点の週間天気予報" description="통합 문서의 '3月24日22時　全国主要地点の週間天気予報' 쿼리에 대한 연결입니다." type="5" refreshedVersion="6" background="1">
    <dbPr connection="Provider=Microsoft.Mashup.OleDb.1;Data Source=$Workbook$;Location=3月24日22時　全国主要地点の週間天気予報;Extended Properties=&quot;&quot;" command="SELECT * FROM [3月24日22時　全国主要地点の週間天気予報]"/>
  </connection>
  <connection id="2" xr16:uid="{4770BE35-6382-47BA-AD21-62E1266E42C6}" keepAlive="1" name="쿼리 - 3月26日11時　全国主要地点の週間天気予報" description="통합 문서의 '3月26日11時　全国主要地点の週間天気予報' 쿼리에 대한 연결입니다." type="5" refreshedVersion="0" background="1" saveData="1">
    <dbPr connection="Provider=Microsoft.Mashup.OleDb.1;Data Source=$Workbook$;Location=3月26日11時　全国主要地点の週間天気予報;Extended Properties=&quot;&quot;" command="SELECT * FROM [3月26日11時　全国主要地点の週間天気予報]"/>
  </connection>
  <connection id="3" xr16:uid="{C1580D27-C6D3-4706-8317-AA51BE2CCAE7}" keepAlive="1" name="쿼리 - Table 0" description="통합 문서의 'Table 0' 쿼리에 대한 연결입니다.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sharedStrings.xml><?xml version="1.0" encoding="utf-8"?>
<sst xmlns="http://schemas.openxmlformats.org/spreadsheetml/2006/main" count="442" uniqueCount="58">
  <si>
    <t>.</t>
    <phoneticPr fontId="1" type="noConversion"/>
  </si>
  <si>
    <t>Routine</t>
    <phoneticPr fontId="1" type="noConversion"/>
  </si>
  <si>
    <t>「１」</t>
    <phoneticPr fontId="1" type="noConversion"/>
  </si>
  <si>
    <t>「２」</t>
    <phoneticPr fontId="1" type="noConversion"/>
  </si>
  <si>
    <t>「３」</t>
  </si>
  <si>
    <t>「４」</t>
  </si>
  <si>
    <t>「５」</t>
  </si>
  <si>
    <t>「６」</t>
  </si>
  <si>
    <t>「７」</t>
  </si>
  <si>
    <t>曜日</t>
    <phoneticPr fontId="1" type="noConversion"/>
  </si>
  <si>
    <t>日付</t>
    <phoneticPr fontId="1" type="noConversion"/>
  </si>
  <si>
    <t>月</t>
  </si>
  <si>
    <t>月</t>
    <phoneticPr fontId="1" type="noConversion"/>
  </si>
  <si>
    <t>火</t>
  </si>
  <si>
    <t>火</t>
    <phoneticPr fontId="1" type="noConversion"/>
  </si>
  <si>
    <t>水</t>
  </si>
  <si>
    <t>水</t>
    <phoneticPr fontId="1" type="noConversion"/>
  </si>
  <si>
    <t>木</t>
  </si>
  <si>
    <t>木</t>
    <phoneticPr fontId="1" type="noConversion"/>
  </si>
  <si>
    <t>金</t>
  </si>
  <si>
    <t>金</t>
    <phoneticPr fontId="1" type="noConversion"/>
  </si>
  <si>
    <t>土</t>
  </si>
  <si>
    <t>土</t>
    <phoneticPr fontId="1" type="noConversion"/>
  </si>
  <si>
    <t>日</t>
  </si>
  <si>
    <t>日</t>
    <phoneticPr fontId="1" type="noConversion"/>
  </si>
  <si>
    <t>Daily Schedule Check</t>
    <phoneticPr fontId="1" type="noConversion"/>
  </si>
  <si>
    <t>境界線</t>
    <phoneticPr fontId="1" type="noConversion"/>
  </si>
  <si>
    <t>曜日別</t>
    <phoneticPr fontId="1" type="noConversion"/>
  </si>
  <si>
    <t>今日残っている事</t>
    <phoneticPr fontId="1" type="noConversion"/>
  </si>
  <si>
    <t>Category2</t>
    <phoneticPr fontId="1" type="noConversion"/>
  </si>
  <si>
    <t>Category1</t>
    <phoneticPr fontId="1" type="noConversion"/>
  </si>
  <si>
    <t>Plan1</t>
    <phoneticPr fontId="1" type="noConversion"/>
  </si>
  <si>
    <t>Plan2</t>
    <phoneticPr fontId="1" type="noConversion"/>
  </si>
  <si>
    <t>Plan3</t>
    <phoneticPr fontId="1" type="noConversion"/>
  </si>
  <si>
    <t>Plan4</t>
    <phoneticPr fontId="1" type="noConversion"/>
  </si>
  <si>
    <t>Plan5</t>
    <phoneticPr fontId="1" type="noConversion"/>
  </si>
  <si>
    <t>カテゴリーの一覧</t>
    <phoneticPr fontId="1" type="noConversion"/>
  </si>
  <si>
    <t>기타</t>
    <phoneticPr fontId="1" type="noConversion"/>
  </si>
  <si>
    <t>明日</t>
    <phoneticPr fontId="1" type="noConversion"/>
  </si>
  <si>
    <r>
      <t>計</t>
    </r>
    <r>
      <rPr>
        <b/>
        <sz val="11"/>
        <color theme="0"/>
        <rFont val="Yu Gothic"/>
        <family val="2"/>
      </rPr>
      <t>画数</t>
    </r>
    <phoneticPr fontId="1" type="noConversion"/>
  </si>
  <si>
    <t>本日一言</t>
    <phoneticPr fontId="1" type="noConversion"/>
  </si>
  <si>
    <t>今週所感</t>
    <phoneticPr fontId="1" type="noConversion"/>
  </si>
  <si>
    <t>メモ</t>
    <phoneticPr fontId="1" type="noConversion"/>
  </si>
  <si>
    <t>※ Short Cut Keys</t>
    <phoneticPr fontId="1" type="noConversion"/>
  </si>
  <si>
    <t>現在時間</t>
    <phoneticPr fontId="1" type="noConversion"/>
  </si>
  <si>
    <t>C+S+A: Detail</t>
    <phoneticPr fontId="1" type="noConversion"/>
  </si>
  <si>
    <t>C+S+G: Green 공부</t>
    <phoneticPr fontId="1" type="noConversion"/>
  </si>
  <si>
    <t>C+S+B: Black 보통</t>
    <phoneticPr fontId="1" type="noConversion"/>
  </si>
  <si>
    <t>C+S+R: Red 중요</t>
    <phoneticPr fontId="1" type="noConversion"/>
  </si>
  <si>
    <t>C+S+V: Blue 휴식</t>
    <phoneticPr fontId="1" type="noConversion"/>
  </si>
  <si>
    <t>마 생일</t>
    <phoneticPr fontId="1" type="noConversion"/>
  </si>
  <si>
    <t>TODAY</t>
    <phoneticPr fontId="1" type="noConversion"/>
  </si>
  <si>
    <r>
      <t xml:space="preserve">Cell </t>
    </r>
    <r>
      <rPr>
        <b/>
        <sz val="11"/>
        <color theme="1"/>
        <rFont val="ＭＳ Ｐゴシック"/>
        <family val="2"/>
      </rPr>
      <t>内</t>
    </r>
    <r>
      <rPr>
        <b/>
        <sz val="11"/>
        <color theme="1"/>
        <rFont val="맑은 고딕"/>
        <family val="3"/>
        <charset val="129"/>
      </rPr>
      <t>容</t>
    </r>
    <phoneticPr fontId="1" type="noConversion"/>
  </si>
  <si>
    <r>
      <rPr>
        <b/>
        <sz val="11"/>
        <color theme="1"/>
        <rFont val="ＭＳ Ｐゴシック"/>
        <family val="2"/>
      </rPr>
      <t>残</t>
    </r>
    <r>
      <rPr>
        <b/>
        <sz val="11"/>
        <color theme="1"/>
        <rFont val="맑은 고딕"/>
        <family val="3"/>
        <charset val="129"/>
      </rPr>
      <t>り</t>
    </r>
    <phoneticPr fontId="1" type="noConversion"/>
  </si>
  <si>
    <t>C+S+Y: Yellow 수업</t>
    <phoneticPr fontId="1" type="noConversion"/>
  </si>
  <si>
    <t>学習</t>
    <rPh sb="0" eb="2">
      <t>がくしゅう</t>
    </rPh>
    <phoneticPr fontId="1" type="noConversion"/>
  </si>
  <si>
    <t>R1</t>
    <phoneticPr fontId="1" type="noConversion"/>
  </si>
  <si>
    <t>R2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</si>
</sst>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월&quot;\ d&quot;일&quot;"/>
    <numFmt numFmtId="177" formatCode="aaa"/>
    <numFmt numFmtId="178" formatCode="m&quot;月&quot;\ d&quot;日&quot;"/>
    <numFmt numFmtId="179" formatCode="[$-411]AM/PM\ h:mm:ss"/>
    <numFmt numFmtId="180" formatCode="yy&quot;年&quot;\ m&quot;月&quot;\ d&quot;日&quot;"/>
    <numFmt numFmtId="181" formatCode="&quot;計&quot;\ General&quot;個&quot;"/>
    <numFmt numFmtId="182" formatCode="0_);[Red]\(0\)"/>
  </numFmts>
  <fonts count="55">
    <font>
      <sz val="11"/>
      <color theme="1"/>
      <name val="ＭＳ Ｐゴシック"/>
      <family val="2"/>
      <charset val="129"/>
      <scheme val="minor"/>
    </font>
    <font>
      <sz val="8"/>
      <name val="ＭＳ Ｐゴシック"/>
      <family val="2"/>
      <charset val="129"/>
      <scheme val="minor"/>
    </font>
    <font>
      <sz val="12"/>
      <color rgb="FF00B050"/>
      <name val="ＭＳ Ｐゴシック"/>
      <family val="3"/>
      <charset val="129"/>
      <scheme val="major"/>
    </font>
    <font>
      <sz val="11"/>
      <color theme="1"/>
      <name val="ＭＳ Ｐゴシック"/>
      <family val="3"/>
      <charset val="129"/>
      <scheme val="minor"/>
    </font>
    <font>
      <b/>
      <sz val="11"/>
      <color rgb="FFFF0000"/>
      <name val="ＭＳ Ｐゴシック"/>
      <family val="3"/>
      <charset val="129"/>
      <scheme val="minor"/>
    </font>
    <font>
      <b/>
      <sz val="11"/>
      <color theme="1"/>
      <name val="ＭＳ Ｐゴシック"/>
      <family val="2"/>
      <charset val="129"/>
      <scheme val="minor"/>
    </font>
    <font>
      <b/>
      <sz val="11"/>
      <color theme="1"/>
      <name val="ＭＳ Ｐゴシック"/>
      <family val="3"/>
      <charset val="129"/>
      <scheme val="minor"/>
    </font>
    <font>
      <b/>
      <sz val="11"/>
      <color theme="1"/>
      <name val="Yu Gothic"/>
      <family val="2"/>
      <charset val="128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ＭＳ Ｐゴシック"/>
      <family val="3"/>
      <charset val="129"/>
      <scheme val="major"/>
    </font>
    <font>
      <b/>
      <sz val="11"/>
      <color theme="1"/>
      <name val="Yu Gothic"/>
      <family val="3"/>
      <charset val="128"/>
    </font>
    <font>
      <b/>
      <sz val="11"/>
      <color rgb="FF00B050"/>
      <name val="ＭＳ Ｐゴシック"/>
      <family val="3"/>
      <charset val="129"/>
      <scheme val="minor"/>
    </font>
    <font>
      <b/>
      <sz val="11"/>
      <color rgb="FF0000FF"/>
      <name val="ＭＳ Ｐゴシック"/>
      <family val="3"/>
      <charset val="129"/>
      <scheme val="minor"/>
    </font>
    <font>
      <sz val="11"/>
      <color rgb="FF0000FF"/>
      <name val="ＭＳ Ｐゴシック"/>
      <family val="2"/>
      <charset val="129"/>
      <scheme val="minor"/>
    </font>
    <font>
      <b/>
      <sz val="11"/>
      <color rgb="FF0000FF"/>
      <name val="맑은 고딕"/>
      <family val="3"/>
      <charset val="129"/>
    </font>
    <font>
      <b/>
      <sz val="16"/>
      <color theme="1"/>
      <name val="ＭＳ Ｐゴシック"/>
      <family val="3"/>
      <charset val="129"/>
      <scheme val="minor"/>
    </font>
    <font>
      <sz val="11"/>
      <color rgb="FF00B050"/>
      <name val="ＭＳ Ｐゴシック"/>
      <family val="3"/>
      <charset val="129"/>
      <scheme val="minor"/>
    </font>
    <font>
      <sz val="11"/>
      <color rgb="FF00B050"/>
      <name val="ＭＳ Ｐゴシック"/>
      <family val="2"/>
      <charset val="129"/>
      <scheme val="minor"/>
    </font>
    <font>
      <sz val="12"/>
      <color rgb="FF00B050"/>
      <name val="ＭＳ Ｐゴシック"/>
      <family val="3"/>
      <charset val="129"/>
      <scheme val="minor"/>
    </font>
    <font>
      <sz val="12"/>
      <color rgb="FF00B050"/>
      <name val="맑은 고딕"/>
      <family val="3"/>
      <charset val="129"/>
    </font>
    <font>
      <sz val="11"/>
      <name val="ＭＳ Ｐゴシック"/>
      <family val="3"/>
      <charset val="129"/>
      <scheme val="major"/>
    </font>
    <font>
      <sz val="11"/>
      <name val="ＭＳ Ｐゴシック"/>
      <family val="3"/>
      <charset val="129"/>
      <scheme val="minor"/>
    </font>
    <font>
      <sz val="12"/>
      <name val="ＭＳ Ｐゴシック"/>
      <family val="3"/>
      <charset val="129"/>
      <scheme val="major"/>
    </font>
    <font>
      <sz val="11"/>
      <name val="ＭＳ Ｐゴシック"/>
      <family val="2"/>
      <charset val="129"/>
      <scheme val="minor"/>
    </font>
    <font>
      <b/>
      <sz val="11"/>
      <color theme="0"/>
      <name val="Yu Gothic"/>
      <family val="2"/>
    </font>
    <font>
      <b/>
      <sz val="11"/>
      <color theme="0"/>
      <name val="Yu Gothic"/>
      <family val="2"/>
      <charset val="128"/>
    </font>
    <font>
      <b/>
      <sz val="20"/>
      <color theme="1"/>
      <name val="ＭＳ Ｐゴシック"/>
      <family val="3"/>
      <charset val="129"/>
      <scheme val="minor"/>
    </font>
    <font>
      <b/>
      <sz val="20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sz val="10"/>
      <color rgb="FF000000"/>
      <name val="Calibri"/>
      <family val="2"/>
    </font>
    <font>
      <b/>
      <sz val="11"/>
      <color theme="0"/>
      <name val="ＭＳ Ｐゴシック"/>
      <family val="3"/>
      <charset val="129"/>
      <scheme val="major"/>
    </font>
    <font>
      <b/>
      <sz val="11"/>
      <color theme="0"/>
      <name val="ＭＳ Ｐゴシック"/>
      <family val="3"/>
      <charset val="129"/>
      <scheme val="minor"/>
    </font>
    <font>
      <b/>
      <sz val="11"/>
      <color theme="0"/>
      <name val="맑은 고딕"/>
      <family val="3"/>
      <charset val="129"/>
    </font>
    <font>
      <b/>
      <sz val="16"/>
      <color theme="1"/>
      <name val="Yu Gothic"/>
      <family val="2"/>
      <charset val="128"/>
    </font>
    <font>
      <sz val="11"/>
      <color theme="1"/>
      <name val="Yu Gothic"/>
      <family val="2"/>
    </font>
    <font>
      <b/>
      <sz val="11"/>
      <color theme="1"/>
      <name val="Yu Gothic"/>
      <family val="2"/>
    </font>
    <font>
      <b/>
      <sz val="20"/>
      <color theme="1"/>
      <name val="Yu Gothic"/>
      <family val="2"/>
    </font>
    <font>
      <b/>
      <sz val="16"/>
      <color theme="1"/>
      <name val="Yu Gothic"/>
      <family val="2"/>
    </font>
    <font>
      <b/>
      <sz val="11"/>
      <color rgb="FFFF0000"/>
      <name val="Yu Gothic"/>
      <family val="2"/>
    </font>
    <font>
      <b/>
      <sz val="11"/>
      <color rgb="FF00B050"/>
      <name val="Yu Gothic"/>
      <family val="2"/>
    </font>
    <font>
      <b/>
      <sz val="11"/>
      <color rgb="FF0000FF"/>
      <name val="Yu Gothic"/>
      <family val="2"/>
    </font>
    <font>
      <b/>
      <sz val="11"/>
      <color rgb="FF00B05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00B050"/>
      <name val="맑은 고딕"/>
      <family val="3"/>
      <charset val="129"/>
    </font>
    <font>
      <sz val="11"/>
      <name val="맑은 고딕"/>
      <family val="2"/>
      <charset val="129"/>
    </font>
    <font>
      <sz val="11"/>
      <name val="ＭＳ Ｐゴシック"/>
      <family val="3"/>
      <charset val="129"/>
    </font>
    <font>
      <b/>
      <sz val="11"/>
      <color theme="1"/>
      <name val="ＭＳ Ｐゴシック"/>
      <family val="2"/>
    </font>
    <font>
      <b/>
      <sz val="20"/>
      <color rgb="FFFF0000"/>
      <name val="맑은 고딕"/>
      <family val="3"/>
      <charset val="129"/>
    </font>
    <font>
      <sz val="11"/>
      <color rgb="FF0000FF"/>
      <name val="맑은 고딕"/>
      <family val="3"/>
      <charset val="129"/>
    </font>
    <font>
      <sz val="12"/>
      <name val="ＭＳ Ｐゴシック"/>
      <family val="3"/>
      <charset val="129"/>
    </font>
    <font>
      <b/>
      <sz val="11"/>
      <color rgb="FF00B050"/>
      <name val="Microsoft YaHei"/>
      <family val="3"/>
      <charset val="134"/>
    </font>
  </fonts>
  <fills count="5">
    <fill>
      <patternFill patternType="none"/>
    </fill>
    <fill>
      <patternFill patternType="gray125"/>
    </fill>
    <fill>
      <patternFill patternType="mediumGray">
        <fgColor theme="0" tint="-0.499984740745262"/>
        <bgColor indexed="65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NumberFormat="1" applyBorder="1">
      <alignment vertical="center"/>
    </xf>
    <xf numFmtId="0" fontId="6" fillId="0" borderId="0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10" fillId="0" borderId="0" xfId="0" applyFont="1">
      <alignment vertical="center"/>
    </xf>
    <xf numFmtId="0" fontId="14" fillId="0" borderId="0" xfId="0" applyFont="1">
      <alignment vertical="center"/>
    </xf>
    <xf numFmtId="0" fontId="13" fillId="0" borderId="0" xfId="0" applyNumberFormat="1" applyFont="1" applyBorder="1">
      <alignment vertical="center"/>
    </xf>
    <xf numFmtId="0" fontId="13" fillId="0" borderId="0" xfId="0" applyNumberFormat="1" applyFont="1" applyFill="1" applyBorder="1">
      <alignment vertical="center"/>
    </xf>
    <xf numFmtId="0" fontId="9" fillId="0" borderId="1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3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8" fillId="3" borderId="3" xfId="0" applyNumberFormat="1" applyFont="1" applyFill="1" applyBorder="1" applyAlignment="1">
      <alignment horizontal="center" vertical="center"/>
    </xf>
    <xf numFmtId="0" fontId="6" fillId="3" borderId="4" xfId="0" applyNumberFormat="1" applyFont="1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22" fillId="0" borderId="0" xfId="0" applyNumberFormat="1" applyFont="1" applyFill="1" applyBorder="1" applyAlignment="1">
      <alignment horizontal="left" vertical="center"/>
    </xf>
    <xf numFmtId="0" fontId="9" fillId="0" borderId="19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20" xfId="0" applyBorder="1">
      <alignment vertical="center"/>
    </xf>
    <xf numFmtId="0" fontId="16" fillId="0" borderId="0" xfId="0" applyFont="1" applyBorder="1" applyAlignment="1">
      <alignment vertical="center"/>
    </xf>
    <xf numFmtId="0" fontId="0" fillId="0" borderId="5" xfId="0" applyNumberFormat="1" applyBorder="1" applyAlignment="1">
      <alignment horizontal="center" vertical="center"/>
    </xf>
    <xf numFmtId="0" fontId="6" fillId="0" borderId="5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0" fontId="14" fillId="0" borderId="5" xfId="0" applyNumberFormat="1" applyFont="1" applyBorder="1">
      <alignment vertical="center"/>
    </xf>
    <xf numFmtId="0" fontId="0" fillId="0" borderId="0" xfId="0" applyBorder="1" applyAlignment="1">
      <alignment horizontal="left" vertical="center"/>
    </xf>
    <xf numFmtId="0" fontId="3" fillId="0" borderId="30" xfId="0" applyNumberFormat="1" applyFont="1" applyBorder="1" applyAlignment="1">
      <alignment horizontal="left" vertical="center"/>
    </xf>
    <xf numFmtId="0" fontId="15" fillId="0" borderId="3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177" fontId="27" fillId="0" borderId="1" xfId="0" applyNumberFormat="1" applyFont="1" applyBorder="1" applyAlignment="1">
      <alignment horizontal="center" vertical="center"/>
    </xf>
    <xf numFmtId="0" fontId="11" fillId="3" borderId="36" xfId="0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6" fillId="0" borderId="35" xfId="0" applyNumberFormat="1" applyFont="1" applyBorder="1" applyAlignment="1">
      <alignment horizontal="center" vertical="center"/>
    </xf>
    <xf numFmtId="0" fontId="6" fillId="0" borderId="37" xfId="0" applyNumberFormat="1" applyFont="1" applyBorder="1" applyAlignment="1">
      <alignment horizontal="center" vertical="center"/>
    </xf>
    <xf numFmtId="176" fontId="23" fillId="0" borderId="0" xfId="0" applyNumberFormat="1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4" fillId="0" borderId="0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34" fillId="0" borderId="0" xfId="0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horizontal="center" vertical="center"/>
    </xf>
    <xf numFmtId="182" fontId="12" fillId="0" borderId="0" xfId="0" applyNumberFormat="1" applyFont="1" applyBorder="1" applyAlignment="1">
      <alignment horizontal="center" vertical="center"/>
    </xf>
    <xf numFmtId="0" fontId="38" fillId="0" borderId="0" xfId="0" applyFont="1">
      <alignment vertical="center"/>
    </xf>
    <xf numFmtId="0" fontId="39" fillId="2" borderId="1" xfId="0" applyFont="1" applyFill="1" applyBorder="1" applyAlignment="1">
      <alignment horizontal="center" vertical="center"/>
    </xf>
    <xf numFmtId="0" fontId="39" fillId="2" borderId="2" xfId="0" applyFont="1" applyFill="1" applyBorder="1" applyAlignment="1">
      <alignment horizontal="center" vertical="center"/>
    </xf>
    <xf numFmtId="177" fontId="40" fillId="0" borderId="1" xfId="0" applyNumberFormat="1" applyFont="1" applyBorder="1" applyAlignment="1">
      <alignment horizontal="center" vertical="center"/>
    </xf>
    <xf numFmtId="181" fontId="41" fillId="0" borderId="2" xfId="0" applyNumberFormat="1" applyFont="1" applyBorder="1" applyAlignment="1">
      <alignment horizontal="center" vertical="center"/>
    </xf>
    <xf numFmtId="179" fontId="39" fillId="0" borderId="1" xfId="0" applyNumberFormat="1" applyFont="1" applyBorder="1" applyAlignment="1">
      <alignment horizontal="center" vertical="center"/>
    </xf>
    <xf numFmtId="0" fontId="39" fillId="0" borderId="1" xfId="0" applyNumberFormat="1" applyFont="1" applyBorder="1" applyAlignment="1">
      <alignment horizontal="center" vertical="top" wrapText="1"/>
    </xf>
    <xf numFmtId="0" fontId="39" fillId="0" borderId="1" xfId="0" applyNumberFormat="1" applyFont="1" applyBorder="1" applyAlignment="1">
      <alignment horizontal="left" vertical="top"/>
    </xf>
    <xf numFmtId="14" fontId="42" fillId="0" borderId="13" xfId="0" applyNumberFormat="1" applyFont="1" applyFill="1" applyBorder="1" applyAlignment="1">
      <alignment horizontal="center" vertical="center"/>
    </xf>
    <xf numFmtId="0" fontId="38" fillId="0" borderId="14" xfId="0" applyFont="1" applyFill="1" applyBorder="1" applyAlignment="1">
      <alignment horizontal="center" vertical="center"/>
    </xf>
    <xf numFmtId="0" fontId="38" fillId="0" borderId="0" xfId="0" applyFont="1" applyBorder="1">
      <alignment vertical="center"/>
    </xf>
    <xf numFmtId="0" fontId="43" fillId="0" borderId="14" xfId="0" applyFont="1" applyFill="1" applyBorder="1" applyAlignment="1">
      <alignment horizontal="center" vertical="center"/>
    </xf>
    <xf numFmtId="0" fontId="44" fillId="0" borderId="35" xfId="0" applyFont="1" applyFill="1" applyBorder="1" applyAlignment="1">
      <alignment horizontal="center" vertical="center"/>
    </xf>
    <xf numFmtId="0" fontId="38" fillId="0" borderId="13" xfId="0" applyFont="1" applyFill="1" applyBorder="1" applyAlignment="1">
      <alignment horizontal="center" vertical="center"/>
    </xf>
    <xf numFmtId="0" fontId="38" fillId="0" borderId="38" xfId="0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38" fillId="0" borderId="0" xfId="0" applyFont="1" applyBorder="1" applyAlignment="1">
      <alignment vertical="center"/>
    </xf>
    <xf numFmtId="0" fontId="0" fillId="0" borderId="0" xfId="0" applyNumberFormat="1" applyFill="1" applyBorder="1">
      <alignment vertical="center"/>
    </xf>
    <xf numFmtId="0" fontId="6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79" fontId="39" fillId="0" borderId="1" xfId="0" applyNumberFormat="1" applyFont="1" applyBorder="1" applyAlignment="1">
      <alignment horizontal="left" vertical="top" wrapText="1"/>
    </xf>
    <xf numFmtId="0" fontId="13" fillId="0" borderId="0" xfId="0" applyNumberFormat="1" applyFont="1" applyBorder="1" applyAlignment="1">
      <alignment horizontal="left" vertical="center"/>
    </xf>
    <xf numFmtId="0" fontId="45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46" fillId="0" borderId="0" xfId="0" applyFont="1" applyAlignment="1">
      <alignment horizontal="left" vertical="center"/>
    </xf>
    <xf numFmtId="0" fontId="47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46" fillId="0" borderId="0" xfId="0" applyFont="1">
      <alignment vertical="center"/>
    </xf>
    <xf numFmtId="0" fontId="15" fillId="0" borderId="0" xfId="0" applyFont="1">
      <alignment vertical="center"/>
    </xf>
    <xf numFmtId="0" fontId="48" fillId="0" borderId="0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left" vertical="center"/>
    </xf>
    <xf numFmtId="176" fontId="8" fillId="3" borderId="1" xfId="0" applyNumberFormat="1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46" fillId="3" borderId="1" xfId="0" applyFont="1" applyFill="1" applyBorder="1">
      <alignment vertical="center"/>
    </xf>
    <xf numFmtId="0" fontId="8" fillId="3" borderId="4" xfId="0" applyFont="1" applyFill="1" applyBorder="1" applyAlignment="1">
      <alignment horizontal="center" vertical="center"/>
    </xf>
    <xf numFmtId="178" fontId="9" fillId="0" borderId="0" xfId="0" applyNumberFormat="1" applyFont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Border="1">
      <alignment vertical="center"/>
    </xf>
    <xf numFmtId="0" fontId="9" fillId="0" borderId="6" xfId="0" applyFont="1" applyBorder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52" fillId="0" borderId="0" xfId="0" applyFont="1">
      <alignment vertical="center"/>
    </xf>
    <xf numFmtId="0" fontId="46" fillId="0" borderId="0" xfId="0" applyFont="1" applyAlignment="1">
      <alignment horizontal="left" vertical="top" wrapText="1"/>
    </xf>
    <xf numFmtId="0" fontId="45" fillId="0" borderId="0" xfId="0" applyFont="1" applyAlignment="1">
      <alignment vertical="center"/>
    </xf>
    <xf numFmtId="0" fontId="8" fillId="0" borderId="0" xfId="0" applyFont="1" applyAlignment="1">
      <alignment vertical="top"/>
    </xf>
    <xf numFmtId="0" fontId="45" fillId="0" borderId="0" xfId="0" applyFont="1" applyAlignment="1">
      <alignment horizontal="left" vertical="top"/>
    </xf>
    <xf numFmtId="0" fontId="47" fillId="0" borderId="0" xfId="0" applyFont="1" applyAlignment="1">
      <alignment horizontal="left" vertical="center"/>
    </xf>
    <xf numFmtId="0" fontId="53" fillId="0" borderId="0" xfId="0" applyFont="1" applyFill="1" applyBorder="1" applyAlignment="1">
      <alignment horizontal="left" vertical="center"/>
    </xf>
    <xf numFmtId="0" fontId="54" fillId="3" borderId="1" xfId="0" applyFont="1" applyFill="1" applyBorder="1">
      <alignment vertical="center"/>
    </xf>
    <xf numFmtId="0" fontId="37" fillId="0" borderId="0" xfId="0" applyFont="1" applyAlignment="1">
      <alignment horizontal="center" vertical="center"/>
    </xf>
    <xf numFmtId="0" fontId="39" fillId="2" borderId="36" xfId="0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43" fillId="0" borderId="28" xfId="0" applyFont="1" applyBorder="1" applyAlignment="1">
      <alignment horizontal="left" vertical="top"/>
    </xf>
    <xf numFmtId="0" fontId="43" fillId="0" borderId="0" xfId="0" applyFont="1" applyBorder="1" applyAlignment="1">
      <alignment horizontal="left" vertical="top"/>
    </xf>
    <xf numFmtId="0" fontId="43" fillId="0" borderId="6" xfId="0" applyFont="1" applyBorder="1" applyAlignment="1">
      <alignment horizontal="left" vertical="top"/>
    </xf>
    <xf numFmtId="0" fontId="44" fillId="0" borderId="28" xfId="0" applyFont="1" applyBorder="1" applyAlignment="1">
      <alignment horizontal="left" vertical="top"/>
    </xf>
    <xf numFmtId="0" fontId="44" fillId="0" borderId="0" xfId="0" applyFont="1" applyBorder="1" applyAlignment="1">
      <alignment horizontal="left" vertical="top"/>
    </xf>
    <xf numFmtId="0" fontId="44" fillId="0" borderId="6" xfId="0" applyFont="1" applyBorder="1" applyAlignment="1">
      <alignment horizontal="left" vertical="top"/>
    </xf>
    <xf numFmtId="0" fontId="39" fillId="0" borderId="27" xfId="0" applyFont="1" applyBorder="1" applyAlignment="1">
      <alignment horizontal="left" vertical="top"/>
    </xf>
    <xf numFmtId="0" fontId="39" fillId="0" borderId="5" xfId="0" applyFont="1" applyBorder="1" applyAlignment="1">
      <alignment horizontal="left" vertical="top"/>
    </xf>
    <xf numFmtId="0" fontId="39" fillId="0" borderId="26" xfId="0" applyFont="1" applyBorder="1" applyAlignment="1">
      <alignment horizontal="left" vertical="top"/>
    </xf>
    <xf numFmtId="0" fontId="39" fillId="0" borderId="29" xfId="0" applyFont="1" applyBorder="1" applyAlignment="1">
      <alignment horizontal="left" vertical="top"/>
    </xf>
    <xf numFmtId="0" fontId="39" fillId="0" borderId="7" xfId="0" applyFont="1" applyBorder="1" applyAlignment="1">
      <alignment horizontal="left" vertical="top"/>
    </xf>
    <xf numFmtId="0" fontId="39" fillId="0" borderId="30" xfId="0" applyFont="1" applyBorder="1" applyAlignment="1">
      <alignment horizontal="left" vertical="top"/>
    </xf>
    <xf numFmtId="180" fontId="40" fillId="0" borderId="10" xfId="0" applyNumberFormat="1" applyFont="1" applyBorder="1" applyAlignment="1">
      <alignment horizontal="center" vertical="center"/>
    </xf>
    <xf numFmtId="180" fontId="40" fillId="0" borderId="1" xfId="0" applyNumberFormat="1" applyFont="1" applyBorder="1" applyAlignment="1">
      <alignment horizontal="center" vertical="center"/>
    </xf>
    <xf numFmtId="0" fontId="39" fillId="0" borderId="28" xfId="0" applyFont="1" applyBorder="1" applyAlignment="1">
      <alignment horizontal="left" vertical="top"/>
    </xf>
    <xf numFmtId="0" fontId="39" fillId="0" borderId="0" xfId="0" applyFont="1" applyBorder="1" applyAlignment="1">
      <alignment horizontal="left" vertical="top"/>
    </xf>
    <xf numFmtId="0" fontId="39" fillId="0" borderId="6" xfId="0" applyFont="1" applyBorder="1" applyAlignment="1">
      <alignment horizontal="left" vertical="top"/>
    </xf>
    <xf numFmtId="0" fontId="42" fillId="0" borderId="27" xfId="0" applyFont="1" applyBorder="1" applyAlignment="1">
      <alignment horizontal="left" vertical="top" wrapText="1"/>
    </xf>
    <xf numFmtId="0" fontId="42" fillId="0" borderId="5" xfId="0" applyFont="1" applyBorder="1" applyAlignment="1">
      <alignment horizontal="left" vertical="top" wrapText="1"/>
    </xf>
    <xf numFmtId="0" fontId="42" fillId="0" borderId="26" xfId="0" applyFont="1" applyBorder="1" applyAlignment="1">
      <alignment horizontal="left" vertical="top" wrapText="1"/>
    </xf>
    <xf numFmtId="0" fontId="39" fillId="0" borderId="28" xfId="0" applyFont="1" applyBorder="1" applyAlignment="1">
      <alignment horizontal="left" vertical="top" wrapText="1"/>
    </xf>
    <xf numFmtId="0" fontId="39" fillId="0" borderId="0" xfId="0" applyFont="1" applyBorder="1" applyAlignment="1">
      <alignment horizontal="left" vertical="top" wrapText="1"/>
    </xf>
    <xf numFmtId="0" fontId="39" fillId="0" borderId="6" xfId="0" applyFont="1" applyBorder="1" applyAlignment="1">
      <alignment horizontal="left" vertical="top" wrapText="1"/>
    </xf>
    <xf numFmtId="0" fontId="38" fillId="0" borderId="28" xfId="0" applyFont="1" applyBorder="1" applyAlignment="1">
      <alignment horizontal="left" vertical="top"/>
    </xf>
    <xf numFmtId="0" fontId="38" fillId="0" borderId="0" xfId="0" applyFont="1" applyBorder="1" applyAlignment="1">
      <alignment horizontal="left" vertical="top"/>
    </xf>
    <xf numFmtId="0" fontId="38" fillId="0" borderId="6" xfId="0" applyFont="1" applyBorder="1" applyAlignment="1">
      <alignment horizontal="left" vertical="top"/>
    </xf>
    <xf numFmtId="0" fontId="51" fillId="0" borderId="29" xfId="0" applyFont="1" applyBorder="1" applyAlignment="1">
      <alignment horizontal="left" vertical="top" wrapText="1"/>
    </xf>
    <xf numFmtId="0" fontId="51" fillId="0" borderId="7" xfId="0" applyFont="1" applyBorder="1" applyAlignment="1">
      <alignment horizontal="left" vertical="top" wrapText="1"/>
    </xf>
    <xf numFmtId="0" fontId="51" fillId="0" borderId="30" xfId="0" applyFont="1" applyBorder="1" applyAlignment="1">
      <alignment horizontal="left" vertical="top" wrapText="1"/>
    </xf>
    <xf numFmtId="0" fontId="6" fillId="0" borderId="19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180" fontId="27" fillId="0" borderId="10" xfId="0" applyNumberFormat="1" applyFont="1" applyBorder="1" applyAlignment="1">
      <alignment horizontal="center" vertical="center"/>
    </xf>
    <xf numFmtId="180" fontId="27" fillId="0" borderId="1" xfId="0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181" fontId="27" fillId="0" borderId="2" xfId="0" applyNumberFormat="1" applyFont="1" applyBorder="1" applyAlignment="1">
      <alignment horizontal="center" vertical="center"/>
    </xf>
    <xf numFmtId="181" fontId="27" fillId="0" borderId="11" xfId="0" applyNumberFormat="1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16" fillId="0" borderId="7" xfId="0" applyNumberFormat="1" applyFont="1" applyBorder="1" applyAlignment="1">
      <alignment horizontal="center" vertical="center"/>
    </xf>
  </cellXfs>
  <cellStyles count="1">
    <cellStyle name="표준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00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svg"/><Relationship Id="rId1" Type="http://schemas.openxmlformats.org/officeDocument/2006/relationships/image" Target="NUL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svg"/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577850</xdr:colOff>
          <xdr:row>0</xdr:row>
          <xdr:rowOff>177800</xdr:rowOff>
        </xdr:from>
        <xdr:to>
          <xdr:col>1</xdr:col>
          <xdr:colOff>1117600</xdr:colOff>
          <xdr:row>1</xdr:row>
          <xdr:rowOff>203200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1187450</xdr:colOff>
          <xdr:row>0</xdr:row>
          <xdr:rowOff>171450</xdr:rowOff>
        </xdr:from>
        <xdr:to>
          <xdr:col>1</xdr:col>
          <xdr:colOff>539750</xdr:colOff>
          <xdr:row>1</xdr:row>
          <xdr:rowOff>203200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明日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0</xdr:row>
          <xdr:rowOff>171450</xdr:rowOff>
        </xdr:from>
        <xdr:to>
          <xdr:col>0</xdr:col>
          <xdr:colOff>1143000</xdr:colOff>
          <xdr:row>1</xdr:row>
          <xdr:rowOff>203200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今日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</xdr:row>
          <xdr:rowOff>25400</xdr:rowOff>
        </xdr:from>
        <xdr:to>
          <xdr:col>9</xdr:col>
          <xdr:colOff>793750</xdr:colOff>
          <xdr:row>2</xdr:row>
          <xdr:rowOff>114300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日報・週報・メール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171450</xdr:rowOff>
        </xdr:from>
        <xdr:to>
          <xdr:col>9</xdr:col>
          <xdr:colOff>793750</xdr:colOff>
          <xdr:row>3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勤務表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50800</xdr:colOff>
      <xdr:row>3</xdr:row>
      <xdr:rowOff>120650</xdr:rowOff>
    </xdr:from>
    <xdr:to>
      <xdr:col>9</xdr:col>
      <xdr:colOff>800100</xdr:colOff>
      <xdr:row>13</xdr:row>
      <xdr:rowOff>114300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1174506" y="1084356"/>
          <a:ext cx="1445559" cy="3093944"/>
          <a:chOff x="12220524" y="1084356"/>
          <a:chExt cx="1571065" cy="286235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2220524" y="1084356"/>
                <a:ext cx="1571065" cy="286235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73152" rIns="64008" bIns="73152" anchor="ctr" upright="1"/>
              <a:lstStyle/>
              <a:p>
                <a:pPr algn="ctr" rtl="0">
                  <a:defRPr sz="1000"/>
                </a:pPr>
                <a:r>
                  <a:rPr lang="ja-JP" altLang="en-US" sz="2000" b="1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編集</a:t>
                </a:r>
              </a:p>
            </xdr:txBody>
          </xdr:sp>
        </mc:Choice>
        <mc:Fallback/>
      </mc:AlternateContent>
      <xdr:pic>
        <xdr:nvPicPr>
          <xdr:cNvPr id="9" name="그래픽 8" descr="네트워크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729883" y="1867648"/>
            <a:ext cx="545352" cy="544703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50800</xdr:colOff>
      <xdr:row>14</xdr:row>
      <xdr:rowOff>38100</xdr:rowOff>
    </xdr:from>
    <xdr:to>
      <xdr:col>9</xdr:col>
      <xdr:colOff>787400</xdr:colOff>
      <xdr:row>15</xdr:row>
      <xdr:rowOff>203200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1174506" y="4326218"/>
          <a:ext cx="1445559" cy="389217"/>
          <a:chOff x="12220680" y="4098073"/>
          <a:chExt cx="1558365" cy="3892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2220680" y="4098073"/>
                <a:ext cx="1558365" cy="389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73152" rIns="64008" bIns="73152" anchor="ctr" upright="1"/>
              <a:lstStyle/>
              <a:p>
                <a:pPr algn="ctr" rtl="0">
                  <a:defRPr sz="1000"/>
                </a:pPr>
                <a:r>
                  <a:rPr lang="ja-JP" altLang="en-US" sz="2000" b="1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編集</a:t>
                </a:r>
              </a:p>
            </xdr:txBody>
          </xdr:sp>
        </mc:Choice>
        <mc:Fallback/>
      </mc:AlternateContent>
      <xdr:pic>
        <xdr:nvPicPr>
          <xdr:cNvPr id="10" name="그래픽 9" descr="시계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75236" y="4153648"/>
            <a:ext cx="284220" cy="28388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8</xdr:row>
          <xdr:rowOff>12700</xdr:rowOff>
        </xdr:from>
        <xdr:to>
          <xdr:col>18</xdr:col>
          <xdr:colOff>590550</xdr:colOff>
          <xdr:row>19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戻る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4</xdr:row>
          <xdr:rowOff>50800</xdr:rowOff>
        </xdr:from>
        <xdr:to>
          <xdr:col>18</xdr:col>
          <xdr:colOff>590550</xdr:colOff>
          <xdr:row>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計画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0</xdr:row>
          <xdr:rowOff>279400</xdr:rowOff>
        </xdr:from>
        <xdr:to>
          <xdr:col>18</xdr:col>
          <xdr:colOff>584200</xdr:colOff>
          <xdr:row>3</xdr:row>
          <xdr:rowOff>203200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拡大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97117</xdr:colOff>
      <xdr:row>3</xdr:row>
      <xdr:rowOff>59765</xdr:rowOff>
    </xdr:from>
    <xdr:to>
      <xdr:col>9</xdr:col>
      <xdr:colOff>353359</xdr:colOff>
      <xdr:row>15</xdr:row>
      <xdr:rowOff>180414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0764" y="851647"/>
          <a:ext cx="1481419" cy="2092885"/>
          <a:chOff x="8777643" y="1016000"/>
          <a:chExt cx="1571065" cy="272041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5" name="Button 13" hidden="1">
                <a:extLst>
                  <a:ext uri="{63B3BB69-23CF-44E3-9099-C40C66FF867C}">
                    <a14:compatExt spid="_x0000_s8205"/>
                  </a:ext>
                  <a:ext uri="{FF2B5EF4-FFF2-40B4-BE49-F238E27FC236}">
                    <a16:creationId xmlns:a16="http://schemas.microsoft.com/office/drawing/2014/main" id="{00000000-0008-0000-0200-00000D200000}"/>
                  </a:ext>
                </a:extLst>
              </xdr:cNvPr>
              <xdr:cNvSpPr/>
            </xdr:nvSpPr>
            <xdr:spPr bwMode="auto">
              <a:xfrm>
                <a:off x="8777643" y="1016000"/>
                <a:ext cx="1571065" cy="2720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73152" rIns="64008" bIns="73152" anchor="ctr" upright="1"/>
              <a:lstStyle/>
              <a:p>
                <a:pPr algn="ctr" rtl="0">
                  <a:defRPr sz="1000"/>
                </a:pPr>
                <a:r>
                  <a:rPr lang="ja-JP" altLang="en-US" sz="2000" b="1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編集</a:t>
                </a:r>
              </a:p>
            </xdr:txBody>
          </xdr:sp>
        </mc:Choice>
        <mc:Fallback/>
      </mc:AlternateContent>
      <xdr:pic>
        <xdr:nvPicPr>
          <xdr:cNvPr id="6" name="그래픽 5" descr="네트워크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287436" y="1657350"/>
            <a:ext cx="545352" cy="54470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</xdr:row>
          <xdr:rowOff>101600</xdr:rowOff>
        </xdr:from>
        <xdr:to>
          <xdr:col>3</xdr:col>
          <xdr:colOff>1054100</xdr:colOff>
          <xdr:row>2</xdr:row>
          <xdr:rowOff>304800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44450</xdr:colOff>
          <xdr:row>0</xdr:row>
          <xdr:rowOff>0</xdr:rowOff>
        </xdr:from>
        <xdr:to>
          <xdr:col>11</xdr:col>
          <xdr:colOff>603250</xdr:colOff>
          <xdr:row>19</xdr:row>
          <xdr:rowOff>177800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戻る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6350</xdr:colOff>
      <xdr:row>0</xdr:row>
      <xdr:rowOff>6350</xdr:rowOff>
    </xdr:from>
    <xdr:to>
      <xdr:col>9</xdr:col>
      <xdr:colOff>1390650</xdr:colOff>
      <xdr:row>3</xdr:row>
      <xdr:rowOff>203200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277350" y="6350"/>
          <a:ext cx="1282700" cy="746685"/>
          <a:chOff x="10166190" y="6352"/>
          <a:chExt cx="1384300" cy="86921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21" name="Button 25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300-000019100000}"/>
                  </a:ext>
                </a:extLst>
              </xdr:cNvPr>
              <xdr:cNvSpPr/>
            </xdr:nvSpPr>
            <xdr:spPr bwMode="auto">
              <a:xfrm>
                <a:off x="10166190" y="6352"/>
                <a:ext cx="1384300" cy="86921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73152" rIns="64008" bIns="73152" anchor="ctr" upright="1"/>
              <a:lstStyle/>
              <a:p>
                <a:pPr algn="ctr" rtl="0">
                  <a:defRPr sz="1000"/>
                </a:pPr>
                <a:r>
                  <a:rPr lang="ja-JP" altLang="en-US" sz="2000" b="1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初期化</a:t>
                </a:r>
              </a:p>
            </xdr:txBody>
          </xdr:sp>
        </mc:Choice>
        <mc:Fallback/>
      </mc:AlternateContent>
      <xdr:sp macro="" textlink="">
        <xdr:nvSpPr>
          <xdr:cNvPr id="3" name="화살표: 왼쪽으로 구부러짐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0787530" y="82176"/>
            <a:ext cx="149412" cy="201706"/>
          </a:xfrm>
          <a:prstGeom prst="curvedLef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19050</xdr:rowOff>
        </xdr:from>
        <xdr:to>
          <xdr:col>6</xdr:col>
          <xdr:colOff>514350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戻る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36536-EA6D-49D4-8CA5-F6515BED1C28}" name="표1" displayName="표1" ref="A1:H100" totalsRowShown="0" headerRowDxfId="9" dataDxfId="8">
  <autoFilter ref="A1:H100" xr:uid="{435BF9F0-CD18-464D-9877-604AA8FA9ACA}"/>
  <sortState xmlns:xlrd2="http://schemas.microsoft.com/office/spreadsheetml/2017/richdata2" ref="A2:H100">
    <sortCondition descending="1" ref="A1:A100"/>
  </sortState>
  <tableColumns count="8">
    <tableColumn id="1" xr3:uid="{1E41F647-37CC-4916-8B15-EC5B55F8146A}" name="Category1" dataDxfId="7"/>
    <tableColumn id="2" xr3:uid="{670A1136-D4AB-47F8-A9FD-18F47EB5B68A}" name="Category2" dataDxfId="6"/>
    <tableColumn id="3" xr3:uid="{266F96D8-A718-4765-8AE1-3196154CCAA4}" name="Plan1" dataDxfId="5"/>
    <tableColumn id="4" xr3:uid="{00FB1C4F-9CCF-4A76-9457-FD25A11E32B7}" name="Plan2" dataDxfId="4"/>
    <tableColumn id="5" xr3:uid="{C5AAEDEB-4C1F-4547-8152-57044B3FEA1D}" name="Plan3" dataDxfId="3"/>
    <tableColumn id="6" xr3:uid="{0DD8E085-DAEF-4C60-9B0B-C5C8E2E7C896}" name="Plan4" dataDxfId="2"/>
    <tableColumn id="7" xr3:uid="{34C1DDC1-7590-49D4-A2AE-275A04F9F12F}" name="Plan5" dataDxfId="1"/>
    <tableColumn id="8" xr3:uid="{322D9871-CC1A-4B95-B67F-A8A0D11A6CD6}" name="境界線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DC3C-E7E1-4330-B020-80721C3AA896}">
  <sheetPr codeName="Sheet1"/>
  <dimension ref="A1:J46"/>
  <sheetViews>
    <sheetView zoomScale="85" zoomScaleNormal="85" workbookViewId="0">
      <selection activeCell="B4" sqref="B4:H4"/>
    </sheetView>
  </sheetViews>
  <sheetFormatPr defaultColWidth="8.6328125" defaultRowHeight="18"/>
  <cols>
    <col min="1" max="1" width="15.54296875" style="58" customWidth="1"/>
    <col min="2" max="2" width="20.54296875" style="73" customWidth="1"/>
    <col min="3" max="8" width="20.54296875" style="58" customWidth="1"/>
    <col min="9" max="14" width="10.7265625" style="58" customWidth="1"/>
    <col min="15" max="16384" width="8.6328125" style="58"/>
  </cols>
  <sheetData>
    <row r="1" spans="1:10" ht="21.5" customHeight="1" thickBot="1">
      <c r="A1" s="108" t="s">
        <v>51</v>
      </c>
      <c r="B1" s="108"/>
      <c r="C1" s="108"/>
      <c r="D1" s="108"/>
      <c r="E1" s="108"/>
      <c r="F1" s="108"/>
      <c r="G1" s="108"/>
      <c r="H1" s="108"/>
    </row>
    <row r="2" spans="1:10" ht="17.5" customHeight="1" thickBot="1">
      <c r="A2" s="109"/>
      <c r="B2" s="110"/>
      <c r="C2" s="59" t="s">
        <v>9</v>
      </c>
      <c r="D2" s="60" t="s">
        <v>28</v>
      </c>
      <c r="E2" s="59" t="s">
        <v>44</v>
      </c>
      <c r="F2" s="59" t="s">
        <v>40</v>
      </c>
      <c r="G2" s="59" t="s">
        <v>41</v>
      </c>
      <c r="H2" s="59" t="s">
        <v>42</v>
      </c>
    </row>
    <row r="3" spans="1:10" ht="36.5" customHeight="1" thickBot="1">
      <c r="A3" s="123">
        <f ca="1">TODAY()</f>
        <v>44104</v>
      </c>
      <c r="B3" s="124"/>
      <c r="C3" s="61" t="str">
        <f ca="1">VLOOKUP($A$3,Yearly!$A:$O,2,FALSE)</f>
        <v>水</v>
      </c>
      <c r="D3" s="62">
        <f ca="1">COUNTA(B4:B14)-COUNTIF(B4:B14,".")-COUNTIF(B4:B14,"")</f>
        <v>0</v>
      </c>
      <c r="E3" s="63">
        <f ca="1">NOW()</f>
        <v>44104.968701388891</v>
      </c>
      <c r="F3" s="78"/>
      <c r="G3" s="64"/>
      <c r="H3" s="65"/>
    </row>
    <row r="4" spans="1:10" ht="85" customHeight="1">
      <c r="A4" s="66" t="str">
        <f>Yearly!C2</f>
        <v>「１」</v>
      </c>
      <c r="B4" s="128" t="str">
        <f ca="1">TEXT(VLOOKUP($A$3,Yearly!$A:$O,3,FALSE),"G/표준;;")</f>
        <v/>
      </c>
      <c r="C4" s="129"/>
      <c r="D4" s="129"/>
      <c r="E4" s="129"/>
      <c r="F4" s="129"/>
      <c r="G4" s="129"/>
      <c r="H4" s="130"/>
    </row>
    <row r="5" spans="1:10" ht="17.5" customHeight="1">
      <c r="A5" s="67" t="str">
        <f>Yearly!D2</f>
        <v>「２」</v>
      </c>
      <c r="B5" s="131" t="str">
        <f ca="1">TEXT(VLOOKUP($A$3,Yearly!$A:$O,4,FALSE),"G/표준;;")</f>
        <v/>
      </c>
      <c r="C5" s="132"/>
      <c r="D5" s="132"/>
      <c r="E5" s="132"/>
      <c r="F5" s="132"/>
      <c r="G5" s="132"/>
      <c r="H5" s="133"/>
    </row>
    <row r="6" spans="1:10" ht="17.5" customHeight="1">
      <c r="A6" s="67" t="str">
        <f>Yearly!E2</f>
        <v>「３」</v>
      </c>
      <c r="B6" s="134" t="str">
        <f ca="1">TEXT(VLOOKUP($A$3,Yearly!$A:$O,5,FALSE),"G/표준;;")</f>
        <v/>
      </c>
      <c r="C6" s="135"/>
      <c r="D6" s="135"/>
      <c r="E6" s="135"/>
      <c r="F6" s="135"/>
      <c r="G6" s="135"/>
      <c r="H6" s="136"/>
    </row>
    <row r="7" spans="1:10" ht="17.5" customHeight="1">
      <c r="A7" s="67" t="str">
        <f>Yearly!F2</f>
        <v>「４」</v>
      </c>
      <c r="B7" s="125" t="str">
        <f ca="1">TEXT(VLOOKUP($A$3,Yearly!$A:$O,6,FALSE),"G/표준;;")</f>
        <v/>
      </c>
      <c r="C7" s="126"/>
      <c r="D7" s="126"/>
      <c r="E7" s="126"/>
      <c r="F7" s="126"/>
      <c r="G7" s="126"/>
      <c r="H7" s="127"/>
    </row>
    <row r="8" spans="1:10" ht="17.5" customHeight="1">
      <c r="A8" s="67" t="str">
        <f>Yearly!G2</f>
        <v>「５」</v>
      </c>
      <c r="B8" s="125" t="str">
        <f ca="1">TEXT(VLOOKUP($A$3,Yearly!$A:$O,7,FALSE),"G/표준;;")</f>
        <v/>
      </c>
      <c r="C8" s="126"/>
      <c r="D8" s="126"/>
      <c r="E8" s="126"/>
      <c r="F8" s="126"/>
      <c r="G8" s="126"/>
      <c r="H8" s="127"/>
      <c r="I8" s="68"/>
      <c r="J8" s="68"/>
    </row>
    <row r="9" spans="1:10" ht="17.5" customHeight="1">
      <c r="A9" s="67" t="str">
        <f>Yearly!H2</f>
        <v>「６」</v>
      </c>
      <c r="B9" s="125" t="str">
        <f ca="1">TEXT(VLOOKUP($A$3,Yearly!$A:$O,8,FALSE),"G/표준;;")</f>
        <v/>
      </c>
      <c r="C9" s="126"/>
      <c r="D9" s="126"/>
      <c r="E9" s="126"/>
      <c r="F9" s="126"/>
      <c r="G9" s="126"/>
      <c r="H9" s="127"/>
      <c r="I9" s="68"/>
      <c r="J9" s="68"/>
    </row>
    <row r="10" spans="1:10" ht="17.5" customHeight="1">
      <c r="A10" s="67" t="str">
        <f>Yearly!I2</f>
        <v>「７」</v>
      </c>
      <c r="B10" s="125" t="str">
        <f ca="1">TEXT(VLOOKUP($A$3,Yearly!$A:$O,9,FALSE),"G/표준;;")</f>
        <v/>
      </c>
      <c r="C10" s="126"/>
      <c r="D10" s="126"/>
      <c r="E10" s="126"/>
      <c r="F10" s="126"/>
      <c r="G10" s="126"/>
      <c r="H10" s="127"/>
      <c r="I10" s="68"/>
      <c r="J10" s="68"/>
    </row>
    <row r="11" spans="1:10" ht="17.5" customHeight="1">
      <c r="A11" s="69" t="str">
        <f>Yearly!J2</f>
        <v>学習</v>
      </c>
      <c r="B11" s="111" t="str">
        <f ca="1">TEXT(VLOOKUP($A$3,Yearly!$A:$O,10,FALSE),"G/표준;;")</f>
        <v/>
      </c>
      <c r="C11" s="112"/>
      <c r="D11" s="112"/>
      <c r="E11" s="112"/>
      <c r="F11" s="112"/>
      <c r="G11" s="112"/>
      <c r="H11" s="113"/>
      <c r="I11" s="68"/>
      <c r="J11" s="68"/>
    </row>
    <row r="12" spans="1:10" ht="17.5" customHeight="1">
      <c r="A12" s="69" t="str">
        <f>Yearly!K2</f>
        <v>学習</v>
      </c>
      <c r="B12" s="111" t="str">
        <f ca="1">TEXT(VLOOKUP($A$3,Yearly!$A:$O,11,FALSE),"G/표준;;")</f>
        <v/>
      </c>
      <c r="C12" s="112"/>
      <c r="D12" s="112"/>
      <c r="E12" s="112"/>
      <c r="F12" s="112"/>
      <c r="G12" s="112"/>
      <c r="H12" s="113"/>
      <c r="I12" s="68"/>
      <c r="J12" s="68"/>
    </row>
    <row r="13" spans="1:10" ht="17.5" customHeight="1">
      <c r="A13" s="69" t="str">
        <f>Yearly!L2</f>
        <v>学習</v>
      </c>
      <c r="B13" s="111" t="str">
        <f ca="1">TEXT(VLOOKUP($A$3,Yearly!$A:$O,12,FALSE),"G/표준;;")</f>
        <v/>
      </c>
      <c r="C13" s="112"/>
      <c r="D13" s="112"/>
      <c r="E13" s="112"/>
      <c r="F13" s="112"/>
      <c r="G13" s="112"/>
      <c r="H13" s="113"/>
      <c r="I13" s="68"/>
      <c r="J13" s="68"/>
    </row>
    <row r="14" spans="1:10" ht="17.5" customHeight="1" thickBot="1">
      <c r="A14" s="70" t="str">
        <f>Yearly!M2</f>
        <v>学習</v>
      </c>
      <c r="B14" s="114" t="str">
        <f ca="1">TEXT(VLOOKUP($A$3,Yearly!$A:$O,13,FALSE),"G/표준;;")</f>
        <v/>
      </c>
      <c r="C14" s="115"/>
      <c r="D14" s="115"/>
      <c r="E14" s="115"/>
      <c r="F14" s="115"/>
      <c r="G14" s="115"/>
      <c r="H14" s="116"/>
      <c r="I14" s="68"/>
      <c r="J14" s="68"/>
    </row>
    <row r="15" spans="1:10" ht="17.5" customHeight="1">
      <c r="A15" s="71" t="str">
        <f>Yearly!N2</f>
        <v>R1</v>
      </c>
      <c r="B15" s="117" t="str">
        <f ca="1">TEXT(VLOOKUP($A$3,Yearly!$A:$O,14,FALSE),"G/표준;;")</f>
        <v/>
      </c>
      <c r="C15" s="118"/>
      <c r="D15" s="118"/>
      <c r="E15" s="118"/>
      <c r="F15" s="118"/>
      <c r="G15" s="118"/>
      <c r="H15" s="119"/>
      <c r="I15" s="68"/>
      <c r="J15" s="68"/>
    </row>
    <row r="16" spans="1:10" ht="17.5" customHeight="1" thickBot="1">
      <c r="A16" s="72" t="str">
        <f>Yearly!O2</f>
        <v>R2</v>
      </c>
      <c r="B16" s="120" t="str">
        <f ca="1">TEXT(VLOOKUP($A$3,Yearly!$A:$O,15,FALSE),"G/표준;;")</f>
        <v/>
      </c>
      <c r="C16" s="121"/>
      <c r="D16" s="121"/>
      <c r="E16" s="121"/>
      <c r="F16" s="121"/>
      <c r="G16" s="121"/>
      <c r="H16" s="122"/>
      <c r="I16" s="68"/>
      <c r="J16" s="68"/>
    </row>
    <row r="17" spans="8:10">
      <c r="H17" s="68"/>
      <c r="I17" s="68"/>
      <c r="J17" s="68"/>
    </row>
    <row r="18" spans="8:10">
      <c r="H18" s="68"/>
      <c r="I18" s="68"/>
      <c r="J18" s="68"/>
    </row>
    <row r="19" spans="8:10">
      <c r="H19" s="68"/>
      <c r="I19" s="68"/>
      <c r="J19" s="68"/>
    </row>
    <row r="20" spans="8:10">
      <c r="I20" s="68"/>
      <c r="J20" s="68"/>
    </row>
    <row r="30" spans="8:10">
      <c r="I30" s="68"/>
      <c r="J30" s="68"/>
    </row>
    <row r="31" spans="8:10">
      <c r="I31" s="68"/>
      <c r="J31" s="68"/>
    </row>
    <row r="32" spans="8:10">
      <c r="I32" s="68"/>
      <c r="J32" s="68"/>
    </row>
    <row r="33" spans="1:10">
      <c r="I33" s="68"/>
      <c r="J33" s="68"/>
    </row>
    <row r="34" spans="1:10">
      <c r="I34" s="68"/>
      <c r="J34" s="68"/>
    </row>
    <row r="35" spans="1:10">
      <c r="A35" s="68"/>
      <c r="B35" s="74"/>
      <c r="C35" s="68"/>
      <c r="D35" s="68"/>
      <c r="E35" s="68"/>
      <c r="F35" s="68"/>
      <c r="G35" s="68"/>
      <c r="H35" s="68"/>
      <c r="I35" s="68"/>
      <c r="J35" s="68"/>
    </row>
    <row r="36" spans="1:10">
      <c r="A36" s="68"/>
      <c r="B36" s="74"/>
      <c r="C36" s="68"/>
      <c r="D36" s="68"/>
      <c r="E36" s="68"/>
      <c r="F36" s="68"/>
      <c r="G36" s="68"/>
      <c r="H36" s="68"/>
      <c r="I36" s="68"/>
      <c r="J36" s="68"/>
    </row>
    <row r="37" spans="1:10">
      <c r="A37" s="68"/>
      <c r="B37" s="74"/>
      <c r="C37" s="68"/>
      <c r="D37" s="68"/>
      <c r="E37" s="68"/>
      <c r="F37" s="68"/>
      <c r="G37" s="68"/>
      <c r="H37" s="68"/>
      <c r="I37" s="68"/>
      <c r="J37" s="68"/>
    </row>
    <row r="38" spans="1:10">
      <c r="A38" s="68"/>
      <c r="B38" s="74"/>
      <c r="C38" s="68"/>
      <c r="D38" s="68"/>
      <c r="E38" s="68"/>
      <c r="F38" s="68"/>
      <c r="G38" s="68"/>
      <c r="H38" s="68"/>
      <c r="I38" s="68"/>
      <c r="J38" s="68"/>
    </row>
    <row r="39" spans="1:10">
      <c r="A39" s="68"/>
      <c r="B39" s="74"/>
      <c r="C39" s="68"/>
      <c r="D39" s="68"/>
      <c r="E39" s="68"/>
      <c r="F39" s="68"/>
      <c r="G39" s="68"/>
      <c r="H39" s="68"/>
      <c r="I39" s="68"/>
      <c r="J39" s="68"/>
    </row>
    <row r="40" spans="1:10">
      <c r="A40" s="68"/>
      <c r="B40" s="74"/>
      <c r="C40" s="68"/>
      <c r="D40" s="68"/>
      <c r="E40" s="68"/>
      <c r="F40" s="68"/>
      <c r="G40" s="68"/>
      <c r="H40" s="68"/>
      <c r="I40" s="68"/>
      <c r="J40" s="68"/>
    </row>
    <row r="41" spans="1:10">
      <c r="A41" s="68"/>
      <c r="B41" s="74"/>
      <c r="C41" s="68"/>
      <c r="D41" s="68"/>
      <c r="E41" s="68"/>
      <c r="F41" s="68"/>
      <c r="G41" s="68"/>
      <c r="H41" s="68"/>
      <c r="I41" s="68"/>
      <c r="J41" s="68"/>
    </row>
    <row r="42" spans="1:10">
      <c r="A42" s="68"/>
      <c r="B42" s="74"/>
      <c r="C42" s="68"/>
      <c r="D42" s="68"/>
      <c r="E42" s="68"/>
      <c r="F42" s="68"/>
      <c r="G42" s="68"/>
      <c r="H42" s="68"/>
      <c r="I42" s="68"/>
      <c r="J42" s="68"/>
    </row>
    <row r="43" spans="1:10">
      <c r="A43" s="68"/>
      <c r="B43" s="74"/>
      <c r="C43" s="68"/>
      <c r="D43" s="68"/>
      <c r="E43" s="68"/>
      <c r="F43" s="68"/>
      <c r="G43" s="68"/>
      <c r="H43" s="68"/>
      <c r="I43" s="68"/>
      <c r="J43" s="68"/>
    </row>
    <row r="44" spans="1:10">
      <c r="A44" s="68"/>
      <c r="B44" s="74"/>
      <c r="C44" s="68"/>
      <c r="D44" s="68"/>
      <c r="E44" s="68"/>
      <c r="F44" s="68"/>
      <c r="G44" s="68"/>
      <c r="H44" s="68"/>
      <c r="I44" s="68"/>
      <c r="J44" s="68"/>
    </row>
    <row r="45" spans="1:10">
      <c r="A45" s="68"/>
      <c r="B45" s="74"/>
      <c r="C45" s="68"/>
      <c r="D45" s="68"/>
      <c r="E45" s="68"/>
      <c r="F45" s="68"/>
      <c r="G45" s="68"/>
      <c r="H45" s="68"/>
      <c r="I45" s="68"/>
      <c r="J45" s="68"/>
    </row>
    <row r="46" spans="1:10">
      <c r="A46" s="68"/>
      <c r="B46" s="74"/>
      <c r="C46" s="68"/>
      <c r="D46" s="68"/>
      <c r="E46" s="68"/>
      <c r="F46" s="68"/>
      <c r="G46" s="68"/>
      <c r="H46" s="68"/>
      <c r="I46" s="68"/>
      <c r="J46" s="68"/>
    </row>
  </sheetData>
  <protectedRanges>
    <protectedRange sqref="A3 F3" name="Today"/>
  </protectedRanges>
  <mergeCells count="16">
    <mergeCell ref="B16:H16"/>
    <mergeCell ref="A3:B3"/>
    <mergeCell ref="B8:H8"/>
    <mergeCell ref="B9:H9"/>
    <mergeCell ref="B10:H10"/>
    <mergeCell ref="B11:H11"/>
    <mergeCell ref="B12:H12"/>
    <mergeCell ref="B4:H4"/>
    <mergeCell ref="B5:H5"/>
    <mergeCell ref="B6:H6"/>
    <mergeCell ref="B7:H7"/>
    <mergeCell ref="A1:H1"/>
    <mergeCell ref="A2:B2"/>
    <mergeCell ref="B13:H13"/>
    <mergeCell ref="B14:H14"/>
    <mergeCell ref="B15:H15"/>
  </mergeCells>
  <phoneticPr fontId="1" type="noConversion"/>
  <pageMargins left="0.7" right="0.7" top="0.75" bottom="0.75" header="0.3" footer="0.3"/>
  <pageSetup paperSize="9" orientation="portrait" horizontalDpi="4294967292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autoFill="0" autoPict="0" macro="[0]!Module2.버튼yearlysheet">
                <anchor moveWithCells="1" sizeWithCells="1">
                  <from>
                    <xdr:col>8</xdr:col>
                    <xdr:colOff>50800</xdr:colOff>
                    <xdr:row>3</xdr:row>
                    <xdr:rowOff>120650</xdr:rowOff>
                  </from>
                  <to>
                    <xdr:col>10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autoFill="0" autoPict="0" macro="[0]!Module2.버튼routinesheet">
                <anchor moveWithCells="1" sizeWithCells="1">
                  <from>
                    <xdr:col>8</xdr:col>
                    <xdr:colOff>50800</xdr:colOff>
                    <xdr:row>14</xdr:row>
                    <xdr:rowOff>38100</xdr:rowOff>
                  </from>
                  <to>
                    <xdr:col>10</xdr:col>
                    <xdr:colOff>0</xdr:colOff>
                    <xdr:row>15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버튼변경">
                <anchor moveWithCells="1" sizeWithCells="1">
                  <from>
                    <xdr:col>1</xdr:col>
                    <xdr:colOff>577850</xdr:colOff>
                    <xdr:row>0</xdr:row>
                    <xdr:rowOff>177800</xdr:rowOff>
                  </from>
                  <to>
                    <xdr:col>1</xdr:col>
                    <xdr:colOff>1117600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버튼내일">
                <anchor moveWithCells="1" sizeWithCells="1">
                  <from>
                    <xdr:col>0</xdr:col>
                    <xdr:colOff>1187450</xdr:colOff>
                    <xdr:row>0</xdr:row>
                    <xdr:rowOff>171450</xdr:rowOff>
                  </from>
                  <to>
                    <xdr:col>1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버튼오늘">
                <anchor moveWithCells="1" sizeWithCells="1">
                  <from>
                    <xdr:col>0</xdr:col>
                    <xdr:colOff>603250</xdr:colOff>
                    <xdr:row>0</xdr:row>
                    <xdr:rowOff>171450</xdr:rowOff>
                  </from>
                  <to>
                    <xdr:col>0</xdr:col>
                    <xdr:colOff>1143000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버튼일보주보">
                <anchor moveWithCells="1" sizeWithCells="1">
                  <from>
                    <xdr:col>8</xdr:col>
                    <xdr:colOff>44450</xdr:colOff>
                    <xdr:row>1</xdr:row>
                    <xdr:rowOff>25400</xdr:rowOff>
                  </from>
                  <to>
                    <xdr:col>9</xdr:col>
                    <xdr:colOff>793750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버튼기무표">
                <anchor moveWithCells="1" sizeWithCells="1">
                  <from>
                    <xdr:col>8</xdr:col>
                    <xdr:colOff>38100</xdr:colOff>
                    <xdr:row>2</xdr:row>
                    <xdr:rowOff>171450</xdr:rowOff>
                  </from>
                  <to>
                    <xdr:col>9</xdr:col>
                    <xdr:colOff>793750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92355-781C-4138-909B-F0C2C87AB427}">
  <sheetPr codeName="Sheet2"/>
  <dimension ref="A1:R1048576"/>
  <sheetViews>
    <sheetView tabSelected="1" zoomScale="85" zoomScaleNormal="85" workbookViewId="0">
      <selection activeCell="L11" sqref="L11"/>
    </sheetView>
  </sheetViews>
  <sheetFormatPr defaultColWidth="8.6328125" defaultRowHeight="17"/>
  <cols>
    <col min="1" max="1" width="12.26953125" style="95" customWidth="1"/>
    <col min="2" max="2" width="8.6328125" style="82"/>
    <col min="3" max="3" width="9.36328125" style="82" customWidth="1"/>
    <col min="4" max="5" width="8.6328125" style="82"/>
    <col min="6" max="6" width="9.1796875" style="82" bestFit="1" customWidth="1"/>
    <col min="7" max="9" width="8.6328125" style="82"/>
    <col min="10" max="11" width="8.6328125" style="80"/>
    <col min="12" max="12" width="8.6328125" style="80" customWidth="1"/>
    <col min="13" max="13" width="8.6328125" style="88"/>
    <col min="14" max="15" width="8.6328125" style="82" customWidth="1"/>
    <col min="16" max="16" width="8.6328125" style="97"/>
    <col min="17" max="17" width="8.6328125" style="98"/>
    <col min="18" max="16384" width="8.6328125" style="82"/>
  </cols>
  <sheetData>
    <row r="1" spans="1:18" ht="30.5" thickBot="1">
      <c r="A1" s="91" t="s">
        <v>52</v>
      </c>
      <c r="B1" s="137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9"/>
      <c r="R1" s="83"/>
    </row>
    <row r="2" spans="1:18" ht="17.5" thickBot="1">
      <c r="A2" s="91" t="s">
        <v>10</v>
      </c>
      <c r="B2" s="92" t="s">
        <v>27</v>
      </c>
      <c r="C2" s="93" t="s">
        <v>2</v>
      </c>
      <c r="D2" s="92" t="s">
        <v>3</v>
      </c>
      <c r="E2" s="92" t="s">
        <v>4</v>
      </c>
      <c r="F2" s="92" t="s">
        <v>5</v>
      </c>
      <c r="G2" s="92" t="s">
        <v>6</v>
      </c>
      <c r="H2" s="92" t="s">
        <v>7</v>
      </c>
      <c r="I2" s="92" t="s">
        <v>8</v>
      </c>
      <c r="J2" s="107" t="s">
        <v>55</v>
      </c>
      <c r="K2" s="107" t="s">
        <v>55</v>
      </c>
      <c r="L2" s="107" t="s">
        <v>55</v>
      </c>
      <c r="M2" s="107" t="s">
        <v>55</v>
      </c>
      <c r="N2" s="92" t="s">
        <v>56</v>
      </c>
      <c r="O2" s="92" t="s">
        <v>57</v>
      </c>
      <c r="P2" s="92" t="s">
        <v>26</v>
      </c>
      <c r="Q2" s="94" t="s">
        <v>53</v>
      </c>
    </row>
    <row r="3" spans="1:18">
      <c r="A3" s="96"/>
      <c r="B3" s="96"/>
      <c r="F3" s="85"/>
    </row>
    <row r="4" spans="1:18" ht="17.5" customHeight="1">
      <c r="A4" s="95">
        <v>44104</v>
      </c>
      <c r="B4" s="82" t="s">
        <v>16</v>
      </c>
      <c r="C4" s="83"/>
      <c r="D4" s="84"/>
      <c r="E4" s="101"/>
      <c r="F4" s="80"/>
      <c r="G4" s="83"/>
      <c r="P4" s="97" t="str">
        <f>VLOOKUP(B4,Routine!$A:$F,5,FALSE)</f>
        <v>.</v>
      </c>
      <c r="Q4" s="98">
        <f t="shared" ref="Q4" si="0">COUNTA($D3:$K3)-COUNTIF($D3:$K3,".")-COUNTIF($D3:$K3," ")</f>
        <v>0</v>
      </c>
    </row>
    <row r="5" spans="1:18" ht="17.5" customHeight="1">
      <c r="A5" s="95">
        <v>44105</v>
      </c>
      <c r="B5" s="82" t="s">
        <v>18</v>
      </c>
      <c r="J5" s="82"/>
      <c r="N5" s="82" t="str">
        <f>TEXT(VLOOKUP(B5,Routine!$A:$E,3,FALSE),"G/표준;;")</f>
        <v/>
      </c>
      <c r="O5" s="82" t="str">
        <f>TEXT(VLOOKUP(B5,Routine!$A:$E,4,FALSE),"G/표준;;")</f>
        <v/>
      </c>
      <c r="P5" s="97" t="str">
        <f>VLOOKUP(B5,Routine!$A:$F,5,FALSE)</f>
        <v>.</v>
      </c>
      <c r="Q5" s="98">
        <f>COUNTA($C4:$K4)-COUNTIF($C4:$K4,".")-COUNTIF($C4:$K4," ")</f>
        <v>0</v>
      </c>
    </row>
    <row r="6" spans="1:18" ht="17.5" customHeight="1">
      <c r="A6" s="95">
        <v>44106</v>
      </c>
      <c r="B6" s="82" t="s">
        <v>20</v>
      </c>
      <c r="J6" s="81"/>
      <c r="N6" s="82" t="str">
        <f>TEXT(VLOOKUP(B6,Routine!$A:$E,3,FALSE),"G/표준;;")</f>
        <v/>
      </c>
      <c r="O6" s="82" t="str">
        <f>TEXT(VLOOKUP(B6,Routine!$A:$E,4,FALSE),"G/표준;;")</f>
        <v/>
      </c>
      <c r="P6" s="97" t="str">
        <f>VLOOKUP(B6,Routine!$A:$F,5,FALSE)</f>
        <v>.</v>
      </c>
      <c r="Q6" s="98">
        <f t="shared" ref="Q6:Q37" si="1">COUNTA($I5:$K5)-COUNTIF($I5:$K5,".")-COUNTIF($I5:$K5," ")</f>
        <v>0</v>
      </c>
    </row>
    <row r="7" spans="1:18" ht="17.5" customHeight="1">
      <c r="A7" s="95">
        <v>44107</v>
      </c>
      <c r="B7" s="82" t="s">
        <v>22</v>
      </c>
      <c r="J7" s="81"/>
      <c r="N7" s="82" t="str">
        <f>TEXT(VLOOKUP(B7,Routine!$A:$E,3,FALSE),"G/표준;;")</f>
        <v/>
      </c>
      <c r="O7" s="82" t="str">
        <f>TEXT(VLOOKUP(B7,Routine!$A:$E,4,FALSE),"G/표준;;")</f>
        <v/>
      </c>
      <c r="P7" s="97" t="str">
        <f>VLOOKUP(B7,Routine!$A:$F,5,FALSE)</f>
        <v>.</v>
      </c>
      <c r="Q7" s="98">
        <f t="shared" si="1"/>
        <v>0</v>
      </c>
    </row>
    <row r="8" spans="1:18" ht="17.5" customHeight="1">
      <c r="A8" s="95">
        <v>44108</v>
      </c>
      <c r="B8" s="82" t="s">
        <v>24</v>
      </c>
      <c r="J8" s="81"/>
      <c r="N8" s="82" t="str">
        <f>TEXT(VLOOKUP(B8,Routine!$A:$E,3,FALSE),"G/표준;;")</f>
        <v/>
      </c>
      <c r="O8" s="82" t="str">
        <f>TEXT(VLOOKUP(B8,Routine!$A:$E,4,FALSE),"G/표준;;")</f>
        <v/>
      </c>
      <c r="P8" s="97" t="str">
        <f>VLOOKUP(B8,Routine!$A:$F,5,FALSE)</f>
        <v>.</v>
      </c>
      <c r="Q8" s="98">
        <f t="shared" si="1"/>
        <v>0</v>
      </c>
    </row>
    <row r="9" spans="1:18" ht="17.5" customHeight="1">
      <c r="A9" s="95">
        <v>44109</v>
      </c>
      <c r="B9" s="82" t="s">
        <v>12</v>
      </c>
      <c r="J9" s="81"/>
      <c r="N9" s="82" t="str">
        <f>TEXT(VLOOKUP(B9,Routine!$A:$E,3,FALSE),"G/표준;;")</f>
        <v/>
      </c>
      <c r="O9" s="82" t="str">
        <f>TEXT(VLOOKUP(B9,Routine!$A:$E,4,FALSE),"G/표준;;")</f>
        <v/>
      </c>
      <c r="P9" s="97" t="str">
        <f>VLOOKUP(B9,Routine!$A:$F,5,FALSE)</f>
        <v>.</v>
      </c>
      <c r="Q9" s="98">
        <f t="shared" si="1"/>
        <v>0</v>
      </c>
    </row>
    <row r="10" spans="1:18" ht="17.5" customHeight="1">
      <c r="A10" s="95">
        <v>44110</v>
      </c>
      <c r="B10" s="82" t="s">
        <v>14</v>
      </c>
      <c r="J10" s="81"/>
      <c r="N10" s="82" t="str">
        <f>TEXT(VLOOKUP(B10,Routine!$A:$E,3,FALSE),"G/표준;;")</f>
        <v/>
      </c>
      <c r="O10" s="82" t="str">
        <f>TEXT(VLOOKUP(B10,Routine!$A:$E,4,FALSE),"G/표준;;")</f>
        <v/>
      </c>
      <c r="P10" s="97" t="str">
        <f>VLOOKUP(B10,Routine!$A:$F,5,FALSE)</f>
        <v>.</v>
      </c>
      <c r="Q10" s="98">
        <f t="shared" si="1"/>
        <v>0</v>
      </c>
    </row>
    <row r="11" spans="1:18" ht="17.5" customHeight="1">
      <c r="A11" s="95">
        <v>44111</v>
      </c>
      <c r="B11" s="82" t="s">
        <v>16</v>
      </c>
      <c r="J11" s="81"/>
      <c r="N11" s="82" t="str">
        <f>TEXT(VLOOKUP(B11,Routine!$A:$E,3,FALSE),"G/표준;;")</f>
        <v/>
      </c>
      <c r="O11" s="82" t="str">
        <f>TEXT(VLOOKUP(B11,Routine!$A:$E,4,FALSE),"G/표준;;")</f>
        <v/>
      </c>
      <c r="P11" s="97" t="str">
        <f>VLOOKUP(B11,Routine!$A:$F,5,FALSE)</f>
        <v>.</v>
      </c>
      <c r="Q11" s="98">
        <f t="shared" si="1"/>
        <v>0</v>
      </c>
    </row>
    <row r="12" spans="1:18" ht="17.5" customHeight="1">
      <c r="A12" s="95">
        <v>44112</v>
      </c>
      <c r="B12" s="82" t="s">
        <v>18</v>
      </c>
      <c r="J12" s="81"/>
      <c r="N12" s="82" t="str">
        <f>TEXT(VLOOKUP(B12,Routine!$A:$E,3,FALSE),"G/표준;;")</f>
        <v/>
      </c>
      <c r="O12" s="82" t="str">
        <f>TEXT(VLOOKUP(B12,Routine!$A:$E,4,FALSE),"G/표준;;")</f>
        <v/>
      </c>
      <c r="P12" s="97" t="str">
        <f>VLOOKUP(B12,Routine!$A:$F,5,FALSE)</f>
        <v>.</v>
      </c>
      <c r="Q12" s="98">
        <f t="shared" si="1"/>
        <v>0</v>
      </c>
    </row>
    <row r="13" spans="1:18" ht="17.5" customHeight="1">
      <c r="A13" s="95">
        <v>44113</v>
      </c>
      <c r="B13" s="82" t="s">
        <v>20</v>
      </c>
      <c r="J13" s="81"/>
      <c r="N13" s="82" t="str">
        <f>TEXT(VLOOKUP(B13,Routine!$A:$E,3,FALSE),"G/표준;;")</f>
        <v/>
      </c>
      <c r="O13" s="82" t="str">
        <f>TEXT(VLOOKUP(B13,Routine!$A:$E,4,FALSE),"G/표준;;")</f>
        <v/>
      </c>
      <c r="P13" s="97" t="str">
        <f>VLOOKUP(B13,Routine!$A:$F,5,FALSE)</f>
        <v>.</v>
      </c>
      <c r="Q13" s="98">
        <f t="shared" si="1"/>
        <v>0</v>
      </c>
    </row>
    <row r="14" spans="1:18" ht="17.5" customHeight="1">
      <c r="A14" s="95">
        <v>44114</v>
      </c>
      <c r="B14" s="82" t="s">
        <v>22</v>
      </c>
      <c r="J14" s="81"/>
      <c r="N14" s="82" t="str">
        <f>TEXT(VLOOKUP(B14,Routine!$A:$E,3,FALSE),"G/표준;;")</f>
        <v/>
      </c>
      <c r="O14" s="82" t="str">
        <f>TEXT(VLOOKUP(B14,Routine!$A:$E,4,FALSE),"G/표준;;")</f>
        <v/>
      </c>
      <c r="P14" s="97" t="str">
        <f>VLOOKUP(B14,Routine!$A:$F,5,FALSE)</f>
        <v>.</v>
      </c>
      <c r="Q14" s="98">
        <f t="shared" si="1"/>
        <v>0</v>
      </c>
    </row>
    <row r="15" spans="1:18" ht="17.5" customHeight="1">
      <c r="A15" s="95">
        <v>44115</v>
      </c>
      <c r="B15" s="82" t="s">
        <v>24</v>
      </c>
      <c r="J15" s="81"/>
      <c r="N15" s="82" t="str">
        <f>TEXT(VLOOKUP(B15,Routine!$A:$E,3,FALSE),"G/표준;;")</f>
        <v/>
      </c>
      <c r="O15" s="82" t="str">
        <f>TEXT(VLOOKUP(B15,Routine!$A:$E,4,FALSE),"G/표준;;")</f>
        <v/>
      </c>
      <c r="P15" s="97" t="str">
        <f>VLOOKUP(B15,Routine!$A:$F,5,FALSE)</f>
        <v>.</v>
      </c>
      <c r="Q15" s="98">
        <f t="shared" si="1"/>
        <v>0</v>
      </c>
    </row>
    <row r="16" spans="1:18" ht="17.5" customHeight="1">
      <c r="A16" s="95">
        <v>44116</v>
      </c>
      <c r="B16" s="82" t="s">
        <v>12</v>
      </c>
      <c r="J16" s="81"/>
      <c r="N16" s="82" t="str">
        <f>TEXT(VLOOKUP(B16,Routine!$A:$E,3,FALSE),"G/표준;;")</f>
        <v/>
      </c>
      <c r="O16" s="82" t="str">
        <f>TEXT(VLOOKUP(B16,Routine!$A:$E,4,FALSE),"G/표준;;")</f>
        <v/>
      </c>
      <c r="P16" s="97" t="str">
        <f>VLOOKUP(B16,Routine!$A:$F,5,FALSE)</f>
        <v>.</v>
      </c>
      <c r="Q16" s="98">
        <f t="shared" si="1"/>
        <v>0</v>
      </c>
    </row>
    <row r="17" spans="1:18" ht="17.5" customHeight="1">
      <c r="A17" s="95">
        <v>44117</v>
      </c>
      <c r="B17" s="82" t="s">
        <v>14</v>
      </c>
      <c r="J17" s="81"/>
      <c r="N17" s="82" t="str">
        <f>TEXT(VLOOKUP(B17,Routine!$A:$E,3,FALSE),"G/표준;;")</f>
        <v/>
      </c>
      <c r="O17" s="82" t="str">
        <f>TEXT(VLOOKUP(B17,Routine!$A:$E,4,FALSE),"G/표준;;")</f>
        <v/>
      </c>
      <c r="P17" s="97" t="str">
        <f>VLOOKUP(B17,Routine!$A:$F,5,FALSE)</f>
        <v>.</v>
      </c>
      <c r="Q17" s="98">
        <f t="shared" si="1"/>
        <v>0</v>
      </c>
    </row>
    <row r="18" spans="1:18" ht="17.5" customHeight="1">
      <c r="A18" s="95">
        <v>44118</v>
      </c>
      <c r="B18" s="82" t="s">
        <v>16</v>
      </c>
      <c r="J18" s="81"/>
      <c r="N18" s="82" t="str">
        <f>TEXT(VLOOKUP(B18,Routine!$A:$E,3,FALSE),"G/표준;;")</f>
        <v/>
      </c>
      <c r="O18" s="82" t="str">
        <f>TEXT(VLOOKUP(B18,Routine!$A:$E,4,FALSE),"G/표준;;")</f>
        <v/>
      </c>
      <c r="P18" s="97" t="str">
        <f>VLOOKUP(B18,Routine!$A:$F,5,FALSE)</f>
        <v>.</v>
      </c>
      <c r="Q18" s="98">
        <f t="shared" si="1"/>
        <v>0</v>
      </c>
    </row>
    <row r="19" spans="1:18" ht="17.5" customHeight="1">
      <c r="A19" s="95">
        <v>44119</v>
      </c>
      <c r="B19" s="82" t="s">
        <v>18</v>
      </c>
      <c r="J19" s="81"/>
      <c r="N19" s="82" t="str">
        <f>TEXT(VLOOKUP(B19,Routine!$A:$E,3,FALSE),"G/표준;;")</f>
        <v/>
      </c>
      <c r="O19" s="82" t="str">
        <f>TEXT(VLOOKUP(B19,Routine!$A:$E,4,FALSE),"G/표준;;")</f>
        <v/>
      </c>
      <c r="P19" s="97" t="str">
        <f>VLOOKUP(B19,Routine!$A:$F,5,FALSE)</f>
        <v>.</v>
      </c>
      <c r="Q19" s="98">
        <f t="shared" si="1"/>
        <v>0</v>
      </c>
      <c r="R19" s="100"/>
    </row>
    <row r="20" spans="1:18" ht="17.5" customHeight="1">
      <c r="A20" s="95">
        <v>44120</v>
      </c>
      <c r="B20" s="82" t="s">
        <v>20</v>
      </c>
      <c r="J20" s="81"/>
      <c r="N20" s="82" t="str">
        <f>TEXT(VLOOKUP(B20,Routine!$A:$E,3,FALSE),"G/표준;;")</f>
        <v/>
      </c>
      <c r="O20" s="82" t="str">
        <f>TEXT(VLOOKUP(B20,Routine!$A:$E,4,FALSE),"G/표준;;")</f>
        <v/>
      </c>
      <c r="P20" s="97" t="str">
        <f>VLOOKUP(B20,Routine!$A:$F,5,FALSE)</f>
        <v>.</v>
      </c>
      <c r="Q20" s="98">
        <f t="shared" si="1"/>
        <v>0</v>
      </c>
    </row>
    <row r="21" spans="1:18" ht="17.5" customHeight="1">
      <c r="A21" s="95">
        <v>44121</v>
      </c>
      <c r="B21" s="82" t="s">
        <v>22</v>
      </c>
      <c r="J21" s="81"/>
      <c r="N21" s="82" t="str">
        <f>TEXT(VLOOKUP(B21,Routine!$A:$E,3,FALSE),"G/표준;;")</f>
        <v/>
      </c>
      <c r="O21" s="82" t="str">
        <f>TEXT(VLOOKUP(B21,Routine!$A:$E,4,FALSE),"G/표준;;")</f>
        <v/>
      </c>
      <c r="P21" s="97" t="str">
        <f>VLOOKUP(B21,Routine!$A:$F,5,FALSE)</f>
        <v>.</v>
      </c>
      <c r="Q21" s="98">
        <f t="shared" si="1"/>
        <v>0</v>
      </c>
    </row>
    <row r="22" spans="1:18" ht="17.5" customHeight="1">
      <c r="A22" s="95">
        <v>44122</v>
      </c>
      <c r="B22" s="82" t="s">
        <v>24</v>
      </c>
      <c r="J22" s="81"/>
      <c r="N22" s="82" t="str">
        <f>TEXT(VLOOKUP(B22,Routine!$A:$E,3,FALSE),"G/표준;;")</f>
        <v/>
      </c>
      <c r="O22" s="82" t="str">
        <f>TEXT(VLOOKUP(B22,Routine!$A:$E,4,FALSE),"G/표준;;")</f>
        <v/>
      </c>
      <c r="P22" s="97" t="str">
        <f>VLOOKUP(B22,Routine!$A:$F,5,FALSE)</f>
        <v>.</v>
      </c>
      <c r="Q22" s="98">
        <f t="shared" si="1"/>
        <v>0</v>
      </c>
      <c r="R22" s="82" t="s">
        <v>43</v>
      </c>
    </row>
    <row r="23" spans="1:18" ht="17.5" customHeight="1">
      <c r="A23" s="95">
        <v>44123</v>
      </c>
      <c r="B23" s="82" t="s">
        <v>12</v>
      </c>
      <c r="J23" s="81"/>
      <c r="N23" s="82" t="str">
        <f>TEXT(VLOOKUP(B23,Routine!$A:$E,3,FALSE),"G/표준;;")</f>
        <v/>
      </c>
      <c r="O23" s="82" t="str">
        <f>TEXT(VLOOKUP(B23,Routine!$A:$E,4,FALSE),"G/표준;;")</f>
        <v/>
      </c>
      <c r="P23" s="97" t="str">
        <f>VLOOKUP(B23,Routine!$A:$F,5,FALSE)</f>
        <v>.</v>
      </c>
      <c r="Q23" s="98">
        <f t="shared" si="1"/>
        <v>0</v>
      </c>
      <c r="R23" s="82" t="s">
        <v>49</v>
      </c>
    </row>
    <row r="24" spans="1:18" ht="17.5" customHeight="1">
      <c r="A24" s="95">
        <v>44124</v>
      </c>
      <c r="B24" s="82" t="s">
        <v>14</v>
      </c>
      <c r="J24" s="81"/>
      <c r="N24" s="82" t="str">
        <f>TEXT(VLOOKUP(B24,Routine!$A:$E,3,FALSE),"G/표준;;")</f>
        <v/>
      </c>
      <c r="O24" s="82" t="str">
        <f>TEXT(VLOOKUP(B24,Routine!$A:$E,4,FALSE),"G/표준;;")</f>
        <v/>
      </c>
      <c r="P24" s="97" t="str">
        <f>VLOOKUP(B24,Routine!$A:$F,5,FALSE)</f>
        <v>.</v>
      </c>
      <c r="Q24" s="98">
        <f t="shared" si="1"/>
        <v>0</v>
      </c>
      <c r="R24" s="82" t="s">
        <v>47</v>
      </c>
    </row>
    <row r="25" spans="1:18" ht="17.5" customHeight="1">
      <c r="A25" s="95">
        <v>44125</v>
      </c>
      <c r="B25" s="82" t="s">
        <v>16</v>
      </c>
      <c r="J25" s="81"/>
      <c r="N25" s="82" t="str">
        <f>TEXT(VLOOKUP(B25,Routine!$A:$E,3,FALSE),"G/표준;;")</f>
        <v/>
      </c>
      <c r="O25" s="82" t="str">
        <f>TEXT(VLOOKUP(B25,Routine!$A:$E,4,FALSE),"G/표준;;")</f>
        <v/>
      </c>
      <c r="P25" s="97" t="str">
        <f>VLOOKUP(B25,Routine!$A:$F,5,FALSE)</f>
        <v>.</v>
      </c>
      <c r="Q25" s="98">
        <f t="shared" si="1"/>
        <v>0</v>
      </c>
      <c r="R25" s="82" t="s">
        <v>46</v>
      </c>
    </row>
    <row r="26" spans="1:18" ht="17.5" customHeight="1">
      <c r="A26" s="95">
        <v>44126</v>
      </c>
      <c r="B26" s="82" t="s">
        <v>18</v>
      </c>
      <c r="J26" s="81"/>
      <c r="N26" s="82" t="str">
        <f>TEXT(VLOOKUP(B26,Routine!$A:$E,3,FALSE),"G/표준;;")</f>
        <v/>
      </c>
      <c r="O26" s="82" t="str">
        <f>TEXT(VLOOKUP(B26,Routine!$A:$E,4,FALSE),"G/표준;;")</f>
        <v/>
      </c>
      <c r="P26" s="97" t="str">
        <f>VLOOKUP(B26,Routine!$A:$F,5,FALSE)</f>
        <v>.</v>
      </c>
      <c r="Q26" s="98">
        <f t="shared" si="1"/>
        <v>0</v>
      </c>
      <c r="R26" s="82" t="s">
        <v>54</v>
      </c>
    </row>
    <row r="27" spans="1:18" ht="17.5" customHeight="1">
      <c r="A27" s="95">
        <v>44127</v>
      </c>
      <c r="B27" s="82" t="s">
        <v>20</v>
      </c>
      <c r="J27" s="81"/>
      <c r="N27" s="82" t="str">
        <f>TEXT(VLOOKUP(B27,Routine!$A:$E,3,FALSE),"G/표준;;")</f>
        <v/>
      </c>
      <c r="O27" s="82" t="str">
        <f>TEXT(VLOOKUP(B27,Routine!$A:$E,4,FALSE),"G/표준;;")</f>
        <v/>
      </c>
      <c r="P27" s="97" t="str">
        <f>VLOOKUP(B27,Routine!$A:$F,5,FALSE)</f>
        <v>.</v>
      </c>
      <c r="Q27" s="98">
        <f t="shared" si="1"/>
        <v>0</v>
      </c>
      <c r="R27" s="82" t="s">
        <v>48</v>
      </c>
    </row>
    <row r="28" spans="1:18" ht="17.5" customHeight="1">
      <c r="A28" s="95">
        <v>44128</v>
      </c>
      <c r="B28" s="82" t="s">
        <v>22</v>
      </c>
      <c r="J28" s="81"/>
      <c r="N28" s="82" t="str">
        <f>TEXT(VLOOKUP(B28,Routine!$A:$E,3,FALSE),"G/표준;;")</f>
        <v/>
      </c>
      <c r="O28" s="82" t="str">
        <f>TEXT(VLOOKUP(B28,Routine!$A:$E,4,FALSE),"G/표준;;")</f>
        <v/>
      </c>
      <c r="P28" s="97" t="str">
        <f>VLOOKUP(B28,Routine!$A:$F,5,FALSE)</f>
        <v>.</v>
      </c>
      <c r="Q28" s="98">
        <f t="shared" si="1"/>
        <v>0</v>
      </c>
      <c r="R28" s="82" t="s">
        <v>45</v>
      </c>
    </row>
    <row r="29" spans="1:18" ht="17.5" customHeight="1">
      <c r="A29" s="95">
        <v>44129</v>
      </c>
      <c r="B29" s="82" t="s">
        <v>24</v>
      </c>
      <c r="N29" s="82" t="str">
        <f>TEXT(VLOOKUP(B29,Routine!$A:$E,3,FALSE),"G/표준;;")</f>
        <v/>
      </c>
      <c r="O29" s="82" t="str">
        <f>TEXT(VLOOKUP(B29,Routine!$A:$E,4,FALSE),"G/표준;;")</f>
        <v/>
      </c>
      <c r="P29" s="97" t="str">
        <f>VLOOKUP(B29,Routine!$A:$F,5,FALSE)</f>
        <v>.</v>
      </c>
      <c r="Q29" s="98">
        <f t="shared" si="1"/>
        <v>0</v>
      </c>
    </row>
    <row r="30" spans="1:18" ht="17.5" customHeight="1">
      <c r="A30" s="95">
        <v>44130</v>
      </c>
      <c r="B30" s="82" t="s">
        <v>12</v>
      </c>
      <c r="J30" s="105"/>
      <c r="N30" s="82" t="str">
        <f>TEXT(VLOOKUP(B30,Routine!$A:$E,3,FALSE),"G/표준;;")</f>
        <v/>
      </c>
      <c r="O30" s="82" t="str">
        <f>TEXT(VLOOKUP(B30,Routine!$A:$E,4,FALSE),"G/표준;;")</f>
        <v/>
      </c>
      <c r="P30" s="97" t="str">
        <f>VLOOKUP(B30,Routine!$A:$F,5,FALSE)</f>
        <v>.</v>
      </c>
      <c r="Q30" s="98">
        <f t="shared" si="1"/>
        <v>0</v>
      </c>
    </row>
    <row r="31" spans="1:18" ht="17.5" customHeight="1">
      <c r="A31" s="95">
        <v>44131</v>
      </c>
      <c r="B31" s="82" t="s">
        <v>14</v>
      </c>
      <c r="J31" s="105"/>
      <c r="N31" s="82" t="str">
        <f>TEXT(VLOOKUP(B31,Routine!$A:$E,3,FALSE),"G/표준;;")</f>
        <v/>
      </c>
      <c r="O31" s="82" t="str">
        <f>TEXT(VLOOKUP(B31,Routine!$A:$E,4,FALSE),"G/표준;;")</f>
        <v/>
      </c>
      <c r="P31" s="97" t="str">
        <f>VLOOKUP(B31,Routine!$A:$F,5,FALSE)</f>
        <v>.</v>
      </c>
      <c r="Q31" s="98">
        <f t="shared" si="1"/>
        <v>0</v>
      </c>
    </row>
    <row r="32" spans="1:18" ht="17.5" customHeight="1">
      <c r="A32" s="95">
        <v>44132</v>
      </c>
      <c r="B32" s="82" t="s">
        <v>16</v>
      </c>
      <c r="J32" s="105"/>
      <c r="N32" s="82" t="str">
        <f>TEXT(VLOOKUP(B32,Routine!$A:$E,3,FALSE),"G/표준;;")</f>
        <v/>
      </c>
      <c r="O32" s="82" t="str">
        <f>TEXT(VLOOKUP(B32,Routine!$A:$E,4,FALSE),"G/표준;;")</f>
        <v/>
      </c>
      <c r="P32" s="97" t="str">
        <f>VLOOKUP(B32,Routine!$A:$F,5,FALSE)</f>
        <v>.</v>
      </c>
      <c r="Q32" s="98">
        <f t="shared" si="1"/>
        <v>0</v>
      </c>
    </row>
    <row r="33" spans="1:17" ht="17.5" customHeight="1">
      <c r="A33" s="95">
        <v>44133</v>
      </c>
      <c r="B33" s="82" t="s">
        <v>18</v>
      </c>
      <c r="J33" s="105"/>
      <c r="N33" s="82" t="str">
        <f>TEXT(VLOOKUP(B33,Routine!$A:$E,3,FALSE),"G/표준;;")</f>
        <v/>
      </c>
      <c r="O33" s="82" t="str">
        <f>TEXT(VLOOKUP(B33,Routine!$A:$E,4,FALSE),"G/표준;;")</f>
        <v/>
      </c>
      <c r="P33" s="97" t="str">
        <f>VLOOKUP(B33,Routine!$A:$F,5,FALSE)</f>
        <v>.</v>
      </c>
      <c r="Q33" s="98">
        <f t="shared" si="1"/>
        <v>0</v>
      </c>
    </row>
    <row r="34" spans="1:17" ht="17.5" customHeight="1">
      <c r="A34" s="95">
        <v>44134</v>
      </c>
      <c r="B34" s="82" t="s">
        <v>20</v>
      </c>
      <c r="J34" s="105"/>
      <c r="N34" s="82" t="str">
        <f>TEXT(VLOOKUP(B34,Routine!$A:$E,3,FALSE),"G/표준;;")</f>
        <v/>
      </c>
      <c r="O34" s="82" t="str">
        <f>TEXT(VLOOKUP(B34,Routine!$A:$E,4,FALSE),"G/표준;;")</f>
        <v/>
      </c>
      <c r="P34" s="97" t="str">
        <f>VLOOKUP(B34,Routine!$A:$F,5,FALSE)</f>
        <v>.</v>
      </c>
      <c r="Q34" s="98">
        <f t="shared" si="1"/>
        <v>0</v>
      </c>
    </row>
    <row r="35" spans="1:17" ht="17.5" customHeight="1">
      <c r="A35" s="95">
        <v>44135</v>
      </c>
      <c r="B35" s="82" t="s">
        <v>22</v>
      </c>
      <c r="J35" s="105"/>
      <c r="L35" s="87"/>
      <c r="N35" s="82" t="str">
        <f>TEXT(VLOOKUP(B35,Routine!$A:$E,3,FALSE),"G/표준;;")</f>
        <v/>
      </c>
      <c r="O35" s="82" t="str">
        <f>TEXT(VLOOKUP(B35,Routine!$A:$E,4,FALSE),"G/표준;;")</f>
        <v/>
      </c>
      <c r="P35" s="97" t="str">
        <f>VLOOKUP(B35,Routine!$A:$F,5,FALSE)</f>
        <v>.</v>
      </c>
      <c r="Q35" s="98">
        <f t="shared" si="1"/>
        <v>0</v>
      </c>
    </row>
    <row r="36" spans="1:17" ht="17.5" customHeight="1">
      <c r="A36" s="95">
        <v>44136</v>
      </c>
      <c r="B36" s="82" t="s">
        <v>24</v>
      </c>
      <c r="J36" s="105"/>
      <c r="N36" s="82" t="str">
        <f>TEXT(VLOOKUP(B36,Routine!$A:$E,3,FALSE),"G/표준;;")</f>
        <v/>
      </c>
      <c r="O36" s="82" t="str">
        <f>TEXT(VLOOKUP(B36,Routine!$A:$E,4,FALSE),"G/표준;;")</f>
        <v/>
      </c>
      <c r="P36" s="97" t="str">
        <f>VLOOKUP(B36,Routine!$A:$F,5,FALSE)</f>
        <v>.</v>
      </c>
      <c r="Q36" s="98">
        <f t="shared" si="1"/>
        <v>0</v>
      </c>
    </row>
    <row r="37" spans="1:17" ht="17.5" customHeight="1">
      <c r="A37" s="95">
        <v>44137</v>
      </c>
      <c r="B37" s="82" t="s">
        <v>12</v>
      </c>
      <c r="J37" s="105"/>
      <c r="N37" s="82" t="str">
        <f>TEXT(VLOOKUP(B37,Routine!$A:$E,3,FALSE),"G/표준;;")</f>
        <v/>
      </c>
      <c r="O37" s="82" t="str">
        <f>TEXT(VLOOKUP(B37,Routine!$A:$E,4,FALSE),"G/표준;;")</f>
        <v/>
      </c>
      <c r="P37" s="97" t="str">
        <f>VLOOKUP(B37,Routine!$A:$F,5,FALSE)</f>
        <v>.</v>
      </c>
      <c r="Q37" s="98">
        <f t="shared" si="1"/>
        <v>0</v>
      </c>
    </row>
    <row r="38" spans="1:17" ht="17.5" customHeight="1">
      <c r="A38" s="95">
        <v>44138</v>
      </c>
      <c r="B38" s="82" t="s">
        <v>14</v>
      </c>
      <c r="J38" s="105"/>
      <c r="N38" s="82" t="str">
        <f>TEXT(VLOOKUP(B38,Routine!$A:$E,3,FALSE),"G/표준;;")</f>
        <v/>
      </c>
      <c r="O38" s="82" t="str">
        <f>TEXT(VLOOKUP(B38,Routine!$A:$E,4,FALSE),"G/표준;;")</f>
        <v/>
      </c>
      <c r="P38" s="97" t="str">
        <f>VLOOKUP(B38,Routine!$A:$F,5,FALSE)</f>
        <v>.</v>
      </c>
      <c r="Q38" s="98">
        <f t="shared" ref="Q38:Q67" si="2">COUNTA($I37:$K37)-COUNTIF($I37:$K37,".")-COUNTIF($I37:$K37," ")</f>
        <v>0</v>
      </c>
    </row>
    <row r="39" spans="1:17" ht="17.5" customHeight="1">
      <c r="A39" s="95">
        <v>44139</v>
      </c>
      <c r="B39" s="82" t="s">
        <v>16</v>
      </c>
      <c r="J39" s="105"/>
      <c r="N39" s="82" t="str">
        <f>TEXT(VLOOKUP(B39,Routine!$A:$E,3,FALSE),"G/표준;;")</f>
        <v/>
      </c>
      <c r="O39" s="82" t="str">
        <f>TEXT(VLOOKUP(B39,Routine!$A:$E,4,FALSE),"G/표준;;")</f>
        <v/>
      </c>
      <c r="P39" s="97" t="str">
        <f>VLOOKUP(B39,Routine!$A:$F,5,FALSE)</f>
        <v>.</v>
      </c>
      <c r="Q39" s="98">
        <f t="shared" si="2"/>
        <v>0</v>
      </c>
    </row>
    <row r="40" spans="1:17" ht="17.5" customHeight="1">
      <c r="A40" s="95">
        <v>44140</v>
      </c>
      <c r="B40" s="82" t="s">
        <v>18</v>
      </c>
      <c r="J40" s="105"/>
      <c r="N40" s="82" t="str">
        <f>TEXT(VLOOKUP(B40,Routine!$A:$E,3,FALSE),"G/표준;;")</f>
        <v/>
      </c>
      <c r="O40" s="82" t="str">
        <f>TEXT(VLOOKUP(B40,Routine!$A:$E,4,FALSE),"G/표준;;")</f>
        <v/>
      </c>
      <c r="P40" s="97" t="str">
        <f>VLOOKUP(B40,Routine!$A:$F,5,FALSE)</f>
        <v>.</v>
      </c>
      <c r="Q40" s="98">
        <f t="shared" si="2"/>
        <v>0</v>
      </c>
    </row>
    <row r="41" spans="1:17" ht="17.5" customHeight="1">
      <c r="A41" s="95">
        <v>44141</v>
      </c>
      <c r="B41" s="82" t="s">
        <v>20</v>
      </c>
      <c r="J41" s="105"/>
      <c r="N41" s="82" t="str">
        <f>TEXT(VLOOKUP(B41,Routine!$A:$E,3,FALSE),"G/표준;;")</f>
        <v/>
      </c>
      <c r="O41" s="82" t="str">
        <f>TEXT(VLOOKUP(B41,Routine!$A:$E,4,FALSE),"G/표준;;")</f>
        <v/>
      </c>
      <c r="P41" s="97" t="str">
        <f>VLOOKUP(B41,Routine!$A:$F,5,FALSE)</f>
        <v>.</v>
      </c>
      <c r="Q41" s="98">
        <f t="shared" si="2"/>
        <v>0</v>
      </c>
    </row>
    <row r="42" spans="1:17" ht="17.5" customHeight="1">
      <c r="A42" s="95">
        <v>44142</v>
      </c>
      <c r="B42" s="82" t="s">
        <v>22</v>
      </c>
      <c r="J42" s="105"/>
      <c r="N42" s="82" t="str">
        <f>TEXT(VLOOKUP(B42,Routine!$A:$E,3,FALSE),"G/표준;;")</f>
        <v/>
      </c>
      <c r="O42" s="82" t="str">
        <f>TEXT(VLOOKUP(B42,Routine!$A:$E,4,FALSE),"G/표준;;")</f>
        <v/>
      </c>
      <c r="P42" s="97" t="str">
        <f>VLOOKUP(B42,Routine!$A:$F,5,FALSE)</f>
        <v>.</v>
      </c>
      <c r="Q42" s="98">
        <f t="shared" si="2"/>
        <v>0</v>
      </c>
    </row>
    <row r="43" spans="1:17" ht="17.5" customHeight="1">
      <c r="A43" s="95">
        <v>44143</v>
      </c>
      <c r="B43" s="82" t="s">
        <v>24</v>
      </c>
      <c r="J43" s="105"/>
      <c r="N43" s="82" t="str">
        <f>TEXT(VLOOKUP(B43,Routine!$A:$E,3,FALSE),"G/표준;;")</f>
        <v/>
      </c>
      <c r="O43" s="82" t="str">
        <f>TEXT(VLOOKUP(B43,Routine!$A:$E,4,FALSE),"G/표준;;")</f>
        <v/>
      </c>
      <c r="P43" s="97" t="str">
        <f>VLOOKUP(B43,Routine!$A:$F,5,FALSE)</f>
        <v>.</v>
      </c>
      <c r="Q43" s="98">
        <f t="shared" si="2"/>
        <v>0</v>
      </c>
    </row>
    <row r="44" spans="1:17" ht="17.5" customHeight="1">
      <c r="A44" s="95">
        <v>44144</v>
      </c>
      <c r="B44" s="82" t="s">
        <v>12</v>
      </c>
      <c r="J44" s="105"/>
      <c r="L44" s="99"/>
      <c r="N44" s="82" t="str">
        <f>TEXT(VLOOKUP(B44,Routine!$A:$E,3,FALSE),"G/표준;;")</f>
        <v/>
      </c>
      <c r="O44" s="82" t="str">
        <f>TEXT(VLOOKUP(B44,Routine!$A:$E,4,FALSE),"G/표준;;")</f>
        <v/>
      </c>
      <c r="P44" s="97" t="str">
        <f>VLOOKUP(B44,Routine!$A:$F,5,FALSE)</f>
        <v>.</v>
      </c>
      <c r="Q44" s="98">
        <f t="shared" si="2"/>
        <v>0</v>
      </c>
    </row>
    <row r="45" spans="1:17" ht="17.5" customHeight="1">
      <c r="A45" s="95">
        <v>44145</v>
      </c>
      <c r="B45" s="82" t="s">
        <v>14</v>
      </c>
      <c r="J45" s="105"/>
      <c r="N45" s="82" t="str">
        <f>TEXT(VLOOKUP(B45,Routine!$A:$E,3,FALSE),"G/표준;;")</f>
        <v/>
      </c>
      <c r="O45" s="82" t="str">
        <f>TEXT(VLOOKUP(B45,Routine!$A:$E,4,FALSE),"G/표준;;")</f>
        <v/>
      </c>
      <c r="P45" s="97" t="str">
        <f>VLOOKUP(B45,Routine!$A:$F,5,FALSE)</f>
        <v>.</v>
      </c>
      <c r="Q45" s="98">
        <f t="shared" si="2"/>
        <v>0</v>
      </c>
    </row>
    <row r="46" spans="1:17" ht="17.5" customHeight="1">
      <c r="A46" s="95">
        <v>44146</v>
      </c>
      <c r="B46" s="82" t="s">
        <v>16</v>
      </c>
      <c r="J46" s="105"/>
      <c r="L46" s="85"/>
      <c r="N46" s="82" t="str">
        <f>TEXT(VLOOKUP(B46,Routine!$A:$E,3,FALSE),"G/표준;;")</f>
        <v/>
      </c>
      <c r="O46" s="82" t="str">
        <f>TEXT(VLOOKUP(B46,Routine!$A:$E,4,FALSE),"G/표준;;")</f>
        <v/>
      </c>
      <c r="P46" s="97" t="str">
        <f>VLOOKUP(B46,Routine!$A:$F,5,FALSE)</f>
        <v>.</v>
      </c>
      <c r="Q46" s="98">
        <f t="shared" si="2"/>
        <v>0</v>
      </c>
    </row>
    <row r="47" spans="1:17" ht="17.5" customHeight="1">
      <c r="A47" s="95">
        <v>44147</v>
      </c>
      <c r="B47" s="82" t="s">
        <v>18</v>
      </c>
      <c r="J47" s="105"/>
      <c r="N47" s="82" t="str">
        <f>TEXT(VLOOKUP(B47,Routine!$A:$E,3,FALSE),"G/표준;;")</f>
        <v/>
      </c>
      <c r="O47" s="82" t="str">
        <f>TEXT(VLOOKUP(B47,Routine!$A:$E,4,FALSE),"G/표준;;")</f>
        <v/>
      </c>
      <c r="P47" s="97" t="str">
        <f>VLOOKUP(B47,Routine!$A:$F,5,FALSE)</f>
        <v>.</v>
      </c>
      <c r="Q47" s="98">
        <f t="shared" si="2"/>
        <v>0</v>
      </c>
    </row>
    <row r="48" spans="1:17" ht="17.5" customHeight="1">
      <c r="A48" s="95">
        <v>44148</v>
      </c>
      <c r="B48" s="82" t="s">
        <v>20</v>
      </c>
      <c r="J48" s="105"/>
      <c r="N48" s="82" t="str">
        <f>TEXT(VLOOKUP(B48,Routine!$A:$E,3,FALSE),"G/표준;;")</f>
        <v/>
      </c>
      <c r="O48" s="82" t="str">
        <f>TEXT(VLOOKUP(B48,Routine!$A:$E,4,FALSE),"G/표준;;")</f>
        <v/>
      </c>
      <c r="P48" s="97" t="str">
        <f>VLOOKUP(B48,Routine!$A:$F,5,FALSE)</f>
        <v>.</v>
      </c>
      <c r="Q48" s="98">
        <f t="shared" si="2"/>
        <v>0</v>
      </c>
    </row>
    <row r="49" spans="1:17" ht="17.5" customHeight="1">
      <c r="A49" s="95">
        <v>44149</v>
      </c>
      <c r="B49" s="82" t="s">
        <v>22</v>
      </c>
      <c r="J49" s="105"/>
      <c r="N49" s="82" t="str">
        <f>TEXT(VLOOKUP(B49,Routine!$A:$E,3,FALSE),"G/표준;;")</f>
        <v/>
      </c>
      <c r="O49" s="82" t="str">
        <f>TEXT(VLOOKUP(B49,Routine!$A:$E,4,FALSE),"G/표준;;")</f>
        <v/>
      </c>
      <c r="P49" s="97" t="str">
        <f>VLOOKUP(B49,Routine!$A:$F,5,FALSE)</f>
        <v>.</v>
      </c>
      <c r="Q49" s="98">
        <f t="shared" si="2"/>
        <v>0</v>
      </c>
    </row>
    <row r="50" spans="1:17" ht="17.5" customHeight="1">
      <c r="A50" s="95">
        <v>44150</v>
      </c>
      <c r="B50" s="82" t="s">
        <v>24</v>
      </c>
      <c r="J50" s="99"/>
      <c r="N50" s="82" t="str">
        <f>TEXT(VLOOKUP(B50,Routine!$A:$E,3,FALSE),"G/표준;;")</f>
        <v/>
      </c>
      <c r="O50" s="82" t="str">
        <f>TEXT(VLOOKUP(B50,Routine!$A:$E,4,FALSE),"G/표준;;")</f>
        <v/>
      </c>
      <c r="P50" s="97" t="str">
        <f>VLOOKUP(B50,Routine!$A:$F,5,FALSE)</f>
        <v>.</v>
      </c>
      <c r="Q50" s="98">
        <f t="shared" si="2"/>
        <v>0</v>
      </c>
    </row>
    <row r="51" spans="1:17" ht="17.5" customHeight="1">
      <c r="A51" s="95">
        <v>44151</v>
      </c>
      <c r="B51" s="82" t="s">
        <v>12</v>
      </c>
      <c r="J51" s="99"/>
      <c r="N51" s="82" t="str">
        <f>TEXT(VLOOKUP(B51,Routine!$A:$E,3,FALSE),"G/표준;;")</f>
        <v/>
      </c>
      <c r="O51" s="82" t="str">
        <f>TEXT(VLOOKUP(B51,Routine!$A:$E,4,FALSE),"G/표준;;")</f>
        <v/>
      </c>
      <c r="P51" s="97" t="str">
        <f>VLOOKUP(B51,Routine!$A:$F,5,FALSE)</f>
        <v>.</v>
      </c>
      <c r="Q51" s="98">
        <f t="shared" si="2"/>
        <v>0</v>
      </c>
    </row>
    <row r="52" spans="1:17" ht="17.5" customHeight="1">
      <c r="A52" s="95">
        <v>44152</v>
      </c>
      <c r="B52" s="82" t="s">
        <v>14</v>
      </c>
      <c r="J52" s="99"/>
      <c r="N52" s="82" t="str">
        <f>TEXT(VLOOKUP(B52,Routine!$A:$E,3,FALSE),"G/표준;;")</f>
        <v/>
      </c>
      <c r="O52" s="82" t="str">
        <f>TEXT(VLOOKUP(B52,Routine!$A:$E,4,FALSE),"G/표준;;")</f>
        <v/>
      </c>
      <c r="P52" s="97" t="str">
        <f>VLOOKUP(B52,Routine!$A:$F,5,FALSE)</f>
        <v>.</v>
      </c>
      <c r="Q52" s="98">
        <f t="shared" si="2"/>
        <v>0</v>
      </c>
    </row>
    <row r="53" spans="1:17" ht="17.5" customHeight="1">
      <c r="A53" s="95">
        <v>44153</v>
      </c>
      <c r="B53" s="82" t="s">
        <v>16</v>
      </c>
      <c r="J53" s="99"/>
      <c r="N53" s="82" t="str">
        <f>TEXT(VLOOKUP(B53,Routine!$A:$E,3,FALSE),"G/표준;;")</f>
        <v/>
      </c>
      <c r="O53" s="82" t="str">
        <f>TEXT(VLOOKUP(B53,Routine!$A:$E,4,FALSE),"G/표준;;")</f>
        <v/>
      </c>
      <c r="P53" s="97" t="str">
        <f>VLOOKUP(B53,Routine!$A:$F,5,FALSE)</f>
        <v>.</v>
      </c>
      <c r="Q53" s="98">
        <f t="shared" si="2"/>
        <v>0</v>
      </c>
    </row>
    <row r="54" spans="1:17" ht="17.5" customHeight="1">
      <c r="A54" s="95">
        <v>44154</v>
      </c>
      <c r="B54" s="82" t="s">
        <v>18</v>
      </c>
      <c r="J54" s="99"/>
      <c r="N54" s="82" t="str">
        <f>TEXT(VLOOKUP(B54,Routine!$A:$E,3,FALSE),"G/표준;;")</f>
        <v/>
      </c>
      <c r="O54" s="82" t="str">
        <f>TEXT(VLOOKUP(B54,Routine!$A:$E,4,FALSE),"G/표준;;")</f>
        <v/>
      </c>
      <c r="P54" s="97" t="str">
        <f>VLOOKUP(B54,Routine!$A:$F,5,FALSE)</f>
        <v>.</v>
      </c>
      <c r="Q54" s="98">
        <f t="shared" si="2"/>
        <v>0</v>
      </c>
    </row>
    <row r="55" spans="1:17" ht="17.5" customHeight="1">
      <c r="A55" s="95">
        <v>44155</v>
      </c>
      <c r="B55" s="82" t="s">
        <v>20</v>
      </c>
      <c r="J55" s="99"/>
      <c r="N55" s="82" t="str">
        <f>TEXT(VLOOKUP(B55,Routine!$A:$E,3,FALSE),"G/표준;;")</f>
        <v/>
      </c>
      <c r="O55" s="82" t="str">
        <f>TEXT(VLOOKUP(B55,Routine!$A:$E,4,FALSE),"G/표준;;")</f>
        <v/>
      </c>
      <c r="P55" s="97" t="str">
        <f>VLOOKUP(B55,Routine!$A:$F,5,FALSE)</f>
        <v>.</v>
      </c>
      <c r="Q55" s="98">
        <f t="shared" si="2"/>
        <v>0</v>
      </c>
    </row>
    <row r="56" spans="1:17" ht="17.5" customHeight="1">
      <c r="A56" s="95">
        <v>44156</v>
      </c>
      <c r="B56" s="82" t="s">
        <v>22</v>
      </c>
      <c r="J56" s="99"/>
      <c r="N56" s="82" t="str">
        <f>TEXT(VLOOKUP(B56,Routine!$A:$E,3,FALSE),"G/표준;;")</f>
        <v/>
      </c>
      <c r="O56" s="82" t="str">
        <f>TEXT(VLOOKUP(B56,Routine!$A:$E,4,FALSE),"G/표준;;")</f>
        <v/>
      </c>
      <c r="P56" s="97" t="str">
        <f>VLOOKUP(B56,Routine!$A:$F,5,FALSE)</f>
        <v>.</v>
      </c>
      <c r="Q56" s="98">
        <f t="shared" si="2"/>
        <v>0</v>
      </c>
    </row>
    <row r="57" spans="1:17" ht="17.5" customHeight="1">
      <c r="A57" s="95">
        <v>44157</v>
      </c>
      <c r="B57" s="82" t="s">
        <v>24</v>
      </c>
      <c r="J57" s="99"/>
      <c r="N57" s="82" t="str">
        <f>TEXT(VLOOKUP(B57,Routine!$A:$E,3,FALSE),"G/표준;;")</f>
        <v/>
      </c>
      <c r="O57" s="82" t="str">
        <f>TEXT(VLOOKUP(B57,Routine!$A:$E,4,FALSE),"G/표준;;")</f>
        <v/>
      </c>
      <c r="P57" s="97" t="str">
        <f>VLOOKUP(B57,Routine!$A:$F,5,FALSE)</f>
        <v>.</v>
      </c>
      <c r="Q57" s="98">
        <f t="shared" si="2"/>
        <v>0</v>
      </c>
    </row>
    <row r="58" spans="1:17" ht="17.5" customHeight="1">
      <c r="A58" s="95">
        <v>44158</v>
      </c>
      <c r="B58" s="82" t="s">
        <v>12</v>
      </c>
      <c r="J58" s="99"/>
      <c r="N58" s="82" t="str">
        <f>TEXT(VLOOKUP(B58,Routine!$A:$E,3,FALSE),"G/표준;;")</f>
        <v/>
      </c>
      <c r="O58" s="82" t="str">
        <f>TEXT(VLOOKUP(B58,Routine!$A:$E,4,FALSE),"G/표준;;")</f>
        <v/>
      </c>
      <c r="P58" s="97" t="str">
        <f>VLOOKUP(B58,Routine!$A:$F,5,FALSE)</f>
        <v>.</v>
      </c>
      <c r="Q58" s="98">
        <f t="shared" si="2"/>
        <v>0</v>
      </c>
    </row>
    <row r="59" spans="1:17" ht="18.5" customHeight="1">
      <c r="A59" s="95">
        <v>44159</v>
      </c>
      <c r="B59" s="82" t="s">
        <v>14</v>
      </c>
      <c r="J59" s="99"/>
      <c r="N59" s="82" t="str">
        <f>TEXT(VLOOKUP(B59,Routine!$A:$E,3,FALSE),"G/표준;;")</f>
        <v/>
      </c>
      <c r="O59" s="82" t="str">
        <f>TEXT(VLOOKUP(B59,Routine!$A:$E,4,FALSE),"G/표준;;")</f>
        <v/>
      </c>
      <c r="P59" s="97" t="str">
        <f>VLOOKUP(B59,Routine!$A:$F,5,FALSE)</f>
        <v>.</v>
      </c>
      <c r="Q59" s="98">
        <f t="shared" si="2"/>
        <v>0</v>
      </c>
    </row>
    <row r="60" spans="1:17" ht="17.5" customHeight="1">
      <c r="A60" s="95">
        <v>44160</v>
      </c>
      <c r="B60" s="82" t="s">
        <v>16</v>
      </c>
      <c r="J60" s="99"/>
      <c r="N60" s="82" t="str">
        <f>TEXT(VLOOKUP(B60,Routine!$A:$E,3,FALSE),"G/표준;;")</f>
        <v/>
      </c>
      <c r="O60" s="82" t="str">
        <f>TEXT(VLOOKUP(B60,Routine!$A:$E,4,FALSE),"G/표준;;")</f>
        <v/>
      </c>
      <c r="P60" s="97" t="str">
        <f>VLOOKUP(B60,Routine!$A:$F,5,FALSE)</f>
        <v>.</v>
      </c>
      <c r="Q60" s="98">
        <f t="shared" si="2"/>
        <v>0</v>
      </c>
    </row>
    <row r="61" spans="1:17" ht="17.5" customHeight="1">
      <c r="A61" s="95">
        <v>44161</v>
      </c>
      <c r="B61" s="82" t="s">
        <v>18</v>
      </c>
      <c r="J61" s="99"/>
      <c r="N61" s="82" t="str">
        <f>TEXT(VLOOKUP(B61,Routine!$A:$E,3,FALSE),"G/표준;;")</f>
        <v/>
      </c>
      <c r="O61" s="82" t="str">
        <f>TEXT(VLOOKUP(B61,Routine!$A:$E,4,FALSE),"G/표준;;")</f>
        <v/>
      </c>
      <c r="P61" s="97" t="str">
        <f>VLOOKUP(B61,Routine!$A:$F,5,FALSE)</f>
        <v>.</v>
      </c>
      <c r="Q61" s="98">
        <f t="shared" si="2"/>
        <v>0</v>
      </c>
    </row>
    <row r="62" spans="1:17" ht="17.5" customHeight="1">
      <c r="A62" s="95">
        <v>44162</v>
      </c>
      <c r="B62" s="82" t="s">
        <v>20</v>
      </c>
      <c r="J62" s="99"/>
      <c r="N62" s="82" t="str">
        <f>TEXT(VLOOKUP(B62,Routine!$A:$E,3,FALSE),"G/표준;;")</f>
        <v/>
      </c>
      <c r="O62" s="82" t="str">
        <f>TEXT(VLOOKUP(B62,Routine!$A:$E,4,FALSE),"G/표준;;")</f>
        <v/>
      </c>
      <c r="P62" s="97" t="str">
        <f>VLOOKUP(B62,Routine!$A:$F,5,FALSE)</f>
        <v>.</v>
      </c>
      <c r="Q62" s="98">
        <f t="shared" si="2"/>
        <v>0</v>
      </c>
    </row>
    <row r="63" spans="1:17" ht="17.5" customHeight="1">
      <c r="A63" s="95">
        <v>44163</v>
      </c>
      <c r="B63" s="82" t="s">
        <v>22</v>
      </c>
      <c r="J63" s="99"/>
      <c r="N63" s="82" t="str">
        <f>TEXT(VLOOKUP(B63,Routine!$A:$E,3,FALSE),"G/표준;;")</f>
        <v/>
      </c>
      <c r="O63" s="82" t="str">
        <f>TEXT(VLOOKUP(B63,Routine!$A:$E,4,FALSE),"G/표준;;")</f>
        <v/>
      </c>
      <c r="P63" s="97" t="str">
        <f>VLOOKUP(B63,Routine!$A:$F,5,FALSE)</f>
        <v>.</v>
      </c>
      <c r="Q63" s="98">
        <f t="shared" si="2"/>
        <v>0</v>
      </c>
    </row>
    <row r="64" spans="1:17" ht="17.5" customHeight="1">
      <c r="A64" s="95">
        <v>44164</v>
      </c>
      <c r="B64" s="82" t="s">
        <v>24</v>
      </c>
      <c r="J64" s="99"/>
      <c r="N64" s="82" t="str">
        <f>TEXT(VLOOKUP(B64,Routine!$A:$E,3,FALSE),"G/표준;;")</f>
        <v/>
      </c>
      <c r="O64" s="82" t="str">
        <f>TEXT(VLOOKUP(B64,Routine!$A:$E,4,FALSE),"G/표준;;")</f>
        <v/>
      </c>
      <c r="P64" s="97" t="str">
        <f>VLOOKUP(B64,Routine!$A:$F,5,FALSE)</f>
        <v>.</v>
      </c>
      <c r="Q64" s="98">
        <f t="shared" si="2"/>
        <v>0</v>
      </c>
    </row>
    <row r="65" spans="1:17" ht="17.5" customHeight="1">
      <c r="A65" s="95">
        <v>44165</v>
      </c>
      <c r="B65" s="82" t="s">
        <v>12</v>
      </c>
      <c r="J65" s="99"/>
      <c r="N65" s="82" t="str">
        <f>TEXT(VLOOKUP(B65,Routine!$A:$E,3,FALSE),"G/표준;;")</f>
        <v/>
      </c>
      <c r="O65" s="82" t="str">
        <f>TEXT(VLOOKUP(B65,Routine!$A:$E,4,FALSE),"G/표준;;")</f>
        <v/>
      </c>
      <c r="P65" s="97" t="str">
        <f>VLOOKUP(B65,Routine!$A:$F,5,FALSE)</f>
        <v>.</v>
      </c>
      <c r="Q65" s="98">
        <f t="shared" si="2"/>
        <v>0</v>
      </c>
    </row>
    <row r="66" spans="1:17" ht="17.5" customHeight="1">
      <c r="A66" s="95">
        <v>44166</v>
      </c>
      <c r="B66" s="82" t="s">
        <v>14</v>
      </c>
      <c r="J66" s="99"/>
      <c r="N66" s="82" t="str">
        <f>TEXT(VLOOKUP(B66,Routine!$A:$E,3,FALSE),"G/표준;;")</f>
        <v/>
      </c>
      <c r="O66" s="82" t="str">
        <f>TEXT(VLOOKUP(B66,Routine!$A:$E,4,FALSE),"G/표준;;")</f>
        <v/>
      </c>
      <c r="P66" s="97" t="str">
        <f>VLOOKUP(B66,Routine!$A:$F,5,FALSE)</f>
        <v>.</v>
      </c>
      <c r="Q66" s="98">
        <f t="shared" si="2"/>
        <v>0</v>
      </c>
    </row>
    <row r="67" spans="1:17">
      <c r="A67" s="95">
        <v>44167</v>
      </c>
      <c r="B67" s="82" t="s">
        <v>16</v>
      </c>
      <c r="J67" s="99"/>
      <c r="N67" s="82" t="str">
        <f>TEXT(VLOOKUP(B67,Routine!$A:$E,3,FALSE),"G/표준;;")</f>
        <v/>
      </c>
      <c r="O67" s="82" t="str">
        <f>TEXT(VLOOKUP(B67,Routine!$A:$E,4,FALSE),"G/표준;;")</f>
        <v/>
      </c>
      <c r="P67" s="97" t="str">
        <f>VLOOKUP(B67,Routine!$A:$F,5,FALSE)</f>
        <v>.</v>
      </c>
      <c r="Q67" s="98">
        <f t="shared" si="2"/>
        <v>0</v>
      </c>
    </row>
    <row r="68" spans="1:17">
      <c r="A68" s="95">
        <v>44168</v>
      </c>
      <c r="B68" s="82" t="s">
        <v>18</v>
      </c>
      <c r="J68" s="99"/>
      <c r="N68" s="82" t="str">
        <f>TEXT(VLOOKUP(B68,Routine!$A:$E,3,FALSE),"G/표준;;")</f>
        <v/>
      </c>
      <c r="O68" s="82" t="str">
        <f>TEXT(VLOOKUP(B68,Routine!$A:$E,4,FALSE),"G/표준;;")</f>
        <v/>
      </c>
      <c r="P68" s="97" t="str">
        <f>VLOOKUP(B68,Routine!$A:$F,5,FALSE)</f>
        <v>.</v>
      </c>
      <c r="Q68" s="98">
        <f t="shared" ref="Q68:Q97" si="3">COUNTA($I67:$K67)-COUNTIF($I67:$K67,".")-COUNTIF($I67:$K67," ")</f>
        <v>0</v>
      </c>
    </row>
    <row r="69" spans="1:17">
      <c r="A69" s="95">
        <v>44169</v>
      </c>
      <c r="B69" s="82" t="s">
        <v>20</v>
      </c>
      <c r="J69" s="99"/>
      <c r="L69" s="102"/>
      <c r="N69" s="82" t="str">
        <f>TEXT(VLOOKUP(B69,Routine!$A:$E,3,FALSE),"G/표준;;")</f>
        <v/>
      </c>
      <c r="O69" s="82" t="str">
        <f>TEXT(VLOOKUP(B69,Routine!$A:$E,4,FALSE),"G/표준;;")</f>
        <v/>
      </c>
      <c r="P69" s="97" t="str">
        <f>VLOOKUP(B69,Routine!$A:$F,5,FALSE)</f>
        <v>.</v>
      </c>
      <c r="Q69" s="98">
        <f t="shared" si="3"/>
        <v>0</v>
      </c>
    </row>
    <row r="70" spans="1:17">
      <c r="A70" s="95">
        <v>44170</v>
      </c>
      <c r="B70" s="82" t="s">
        <v>22</v>
      </c>
      <c r="J70" s="99"/>
      <c r="N70" s="82" t="str">
        <f>TEXT(VLOOKUP(B70,Routine!$A:$E,3,FALSE),"G/표준;;")</f>
        <v/>
      </c>
      <c r="O70" s="82" t="str">
        <f>TEXT(VLOOKUP(B70,Routine!$A:$E,4,FALSE),"G/표준;;")</f>
        <v/>
      </c>
      <c r="P70" s="97" t="str">
        <f>VLOOKUP(B70,Routine!$A:$F,5,FALSE)</f>
        <v>.</v>
      </c>
      <c r="Q70" s="98">
        <f t="shared" si="3"/>
        <v>0</v>
      </c>
    </row>
    <row r="71" spans="1:17">
      <c r="A71" s="95">
        <v>44171</v>
      </c>
      <c r="B71" s="82" t="s">
        <v>24</v>
      </c>
      <c r="J71" s="99"/>
      <c r="L71" s="87"/>
      <c r="N71" s="82" t="str">
        <f>TEXT(VLOOKUP(B71,Routine!$A:$E,3,FALSE),"G/표준;;")</f>
        <v/>
      </c>
      <c r="O71" s="82" t="str">
        <f>TEXT(VLOOKUP(B71,Routine!$A:$E,4,FALSE),"G/표준;;")</f>
        <v/>
      </c>
      <c r="P71" s="97" t="str">
        <f>VLOOKUP(B71,Routine!$A:$F,5,FALSE)</f>
        <v>.</v>
      </c>
      <c r="Q71" s="98">
        <f t="shared" si="3"/>
        <v>0</v>
      </c>
    </row>
    <row r="72" spans="1:17">
      <c r="A72" s="95">
        <v>44172</v>
      </c>
      <c r="B72" s="82" t="s">
        <v>12</v>
      </c>
      <c r="J72" s="99"/>
      <c r="N72" s="82" t="str">
        <f>TEXT(VLOOKUP(B72,Routine!$A:$E,3,FALSE),"G/표준;;")</f>
        <v/>
      </c>
      <c r="O72" s="82" t="str">
        <f>TEXT(VLOOKUP(B72,Routine!$A:$E,4,FALSE),"G/표준;;")</f>
        <v/>
      </c>
      <c r="P72" s="97" t="str">
        <f>VLOOKUP(B72,Routine!$A:$F,5,FALSE)</f>
        <v>.</v>
      </c>
      <c r="Q72" s="98">
        <f t="shared" si="3"/>
        <v>0</v>
      </c>
    </row>
    <row r="73" spans="1:17">
      <c r="A73" s="95">
        <v>44173</v>
      </c>
      <c r="B73" s="82" t="s">
        <v>14</v>
      </c>
      <c r="J73" s="99"/>
      <c r="L73" s="83"/>
      <c r="N73" s="82" t="str">
        <f>TEXT(VLOOKUP(B73,Routine!$A:$E,3,FALSE),"G/표준;;")</f>
        <v/>
      </c>
      <c r="O73" s="82" t="str">
        <f>TEXT(VLOOKUP(B73,Routine!$A:$E,4,FALSE),"G/표준;;")</f>
        <v/>
      </c>
      <c r="P73" s="97" t="str">
        <f>VLOOKUP(B73,Routine!$A:$F,5,FALSE)</f>
        <v>.</v>
      </c>
      <c r="Q73" s="98">
        <f t="shared" si="3"/>
        <v>0</v>
      </c>
    </row>
    <row r="74" spans="1:17">
      <c r="A74" s="95">
        <v>44174</v>
      </c>
      <c r="B74" s="82" t="s">
        <v>16</v>
      </c>
      <c r="J74" s="99"/>
      <c r="L74" s="83"/>
      <c r="N74" s="82" t="str">
        <f>TEXT(VLOOKUP(B74,Routine!$A:$E,3,FALSE),"G/표준;;")</f>
        <v/>
      </c>
      <c r="O74" s="82" t="str">
        <f>TEXT(VLOOKUP(B74,Routine!$A:$E,4,FALSE),"G/표준;;")</f>
        <v/>
      </c>
      <c r="P74" s="97" t="str">
        <f>VLOOKUP(B74,Routine!$A:$F,5,FALSE)</f>
        <v>.</v>
      </c>
      <c r="Q74" s="98">
        <f t="shared" si="3"/>
        <v>0</v>
      </c>
    </row>
    <row r="75" spans="1:17">
      <c r="A75" s="95">
        <v>44175</v>
      </c>
      <c r="B75" s="82" t="s">
        <v>18</v>
      </c>
      <c r="J75" s="99"/>
      <c r="L75" s="83"/>
      <c r="N75" s="82" t="str">
        <f>TEXT(VLOOKUP(B75,Routine!$A:$E,3,FALSE),"G/표준;;")</f>
        <v/>
      </c>
      <c r="O75" s="82" t="str">
        <f>TEXT(VLOOKUP(B75,Routine!$A:$E,4,FALSE),"G/표준;;")</f>
        <v/>
      </c>
      <c r="P75" s="97" t="str">
        <f>VLOOKUP(B75,Routine!$A:$F,5,FALSE)</f>
        <v>.</v>
      </c>
      <c r="Q75" s="98">
        <f t="shared" si="3"/>
        <v>0</v>
      </c>
    </row>
    <row r="76" spans="1:17">
      <c r="A76" s="95">
        <v>44176</v>
      </c>
      <c r="B76" s="82" t="s">
        <v>20</v>
      </c>
      <c r="J76" s="99"/>
      <c r="L76" s="83"/>
      <c r="N76" s="82" t="str">
        <f>TEXT(VLOOKUP(B76,Routine!$A:$E,3,FALSE),"G/표준;;")</f>
        <v/>
      </c>
      <c r="O76" s="82" t="str">
        <f>TEXT(VLOOKUP(B76,Routine!$A:$E,4,FALSE),"G/표준;;")</f>
        <v/>
      </c>
      <c r="P76" s="97" t="str">
        <f>VLOOKUP(B76,Routine!$A:$F,5,FALSE)</f>
        <v>.</v>
      </c>
      <c r="Q76" s="98">
        <f t="shared" si="3"/>
        <v>0</v>
      </c>
    </row>
    <row r="77" spans="1:17">
      <c r="A77" s="95">
        <v>44177</v>
      </c>
      <c r="B77" s="82" t="s">
        <v>22</v>
      </c>
      <c r="J77" s="99"/>
      <c r="L77" s="103"/>
      <c r="N77" s="82" t="str">
        <f>TEXT(VLOOKUP(B77,Routine!$A:$E,3,FALSE),"G/표준;;")</f>
        <v/>
      </c>
      <c r="O77" s="82" t="str">
        <f>TEXT(VLOOKUP(B77,Routine!$A:$E,4,FALSE),"G/표준;;")</f>
        <v/>
      </c>
      <c r="P77" s="97" t="str">
        <f>VLOOKUP(B77,Routine!$A:$F,5,FALSE)</f>
        <v>.</v>
      </c>
      <c r="Q77" s="98">
        <f t="shared" si="3"/>
        <v>0</v>
      </c>
    </row>
    <row r="78" spans="1:17">
      <c r="A78" s="95">
        <v>44178</v>
      </c>
      <c r="B78" s="82" t="s">
        <v>24</v>
      </c>
      <c r="J78" s="99"/>
      <c r="L78" s="83"/>
      <c r="N78" s="82" t="str">
        <f>TEXT(VLOOKUP(B78,Routine!$A:$E,3,FALSE),"G/표준;;")</f>
        <v/>
      </c>
      <c r="O78" s="82" t="str">
        <f>TEXT(VLOOKUP(B78,Routine!$A:$E,4,FALSE),"G/표준;;")</f>
        <v/>
      </c>
      <c r="P78" s="97" t="str">
        <f>VLOOKUP(B78,Routine!$A:$F,5,FALSE)</f>
        <v>.</v>
      </c>
      <c r="Q78" s="98">
        <f t="shared" si="3"/>
        <v>0</v>
      </c>
    </row>
    <row r="79" spans="1:17">
      <c r="A79" s="95">
        <v>44179</v>
      </c>
      <c r="B79" s="82" t="s">
        <v>12</v>
      </c>
      <c r="J79" s="99"/>
      <c r="N79" s="82" t="str">
        <f>TEXT(VLOOKUP(B79,Routine!$A:$E,3,FALSE),"G/표준;;")</f>
        <v/>
      </c>
      <c r="O79" s="82" t="str">
        <f>TEXT(VLOOKUP(B79,Routine!$A:$E,4,FALSE),"G/표준;;")</f>
        <v/>
      </c>
      <c r="P79" s="97" t="str">
        <f>VLOOKUP(B79,Routine!$A:$F,5,FALSE)</f>
        <v>.</v>
      </c>
      <c r="Q79" s="98">
        <f t="shared" si="3"/>
        <v>0</v>
      </c>
    </row>
    <row r="80" spans="1:17">
      <c r="A80" s="95">
        <v>44180</v>
      </c>
      <c r="B80" s="82" t="s">
        <v>14</v>
      </c>
      <c r="J80" s="99"/>
      <c r="N80" s="82" t="str">
        <f>TEXT(VLOOKUP(B80,Routine!$A:$E,3,FALSE),"G/표준;;")</f>
        <v/>
      </c>
      <c r="O80" s="82" t="str">
        <f>TEXT(VLOOKUP(B80,Routine!$A:$E,4,FALSE),"G/표준;;")</f>
        <v/>
      </c>
      <c r="P80" s="97" t="str">
        <f>VLOOKUP(B80,Routine!$A:$F,5,FALSE)</f>
        <v>.</v>
      </c>
      <c r="Q80" s="98">
        <f t="shared" si="3"/>
        <v>0</v>
      </c>
    </row>
    <row r="81" spans="1:17">
      <c r="A81" s="95">
        <v>44181</v>
      </c>
      <c r="B81" s="82" t="s">
        <v>16</v>
      </c>
      <c r="J81" s="99"/>
      <c r="L81" s="83"/>
      <c r="N81" s="82" t="str">
        <f>TEXT(VLOOKUP(B81,Routine!$A:$E,3,FALSE),"G/표준;;")</f>
        <v/>
      </c>
      <c r="O81" s="82" t="str">
        <f>TEXT(VLOOKUP(B81,Routine!$A:$E,4,FALSE),"G/표준;;")</f>
        <v/>
      </c>
      <c r="P81" s="97" t="str">
        <f>VLOOKUP(B81,Routine!$A:$F,5,FALSE)</f>
        <v>.</v>
      </c>
      <c r="Q81" s="98">
        <f t="shared" si="3"/>
        <v>0</v>
      </c>
    </row>
    <row r="82" spans="1:17">
      <c r="A82" s="95">
        <v>44182</v>
      </c>
      <c r="B82" s="82" t="s">
        <v>18</v>
      </c>
      <c r="J82" s="99"/>
      <c r="L82" s="83"/>
      <c r="N82" s="82" t="str">
        <f>TEXT(VLOOKUP(B82,Routine!$A:$E,3,FALSE),"G/표준;;")</f>
        <v/>
      </c>
      <c r="O82" s="82" t="str">
        <f>TEXT(VLOOKUP(B82,Routine!$A:$E,4,FALSE),"G/표준;;")</f>
        <v/>
      </c>
      <c r="P82" s="97" t="str">
        <f>VLOOKUP(B82,Routine!$A:$F,5,FALSE)</f>
        <v>.</v>
      </c>
      <c r="Q82" s="98">
        <f t="shared" si="3"/>
        <v>0</v>
      </c>
    </row>
    <row r="83" spans="1:17">
      <c r="A83" s="95">
        <v>44183</v>
      </c>
      <c r="B83" s="82" t="s">
        <v>20</v>
      </c>
      <c r="J83" s="99"/>
      <c r="L83" s="83"/>
      <c r="N83" s="82" t="str">
        <f>TEXT(VLOOKUP(B83,Routine!$A:$E,3,FALSE),"G/표준;;")</f>
        <v/>
      </c>
      <c r="O83" s="82" t="str">
        <f>TEXT(VLOOKUP(B83,Routine!$A:$E,4,FALSE),"G/표준;;")</f>
        <v/>
      </c>
      <c r="P83" s="97" t="str">
        <f>VLOOKUP(B83,Routine!$A:$F,5,FALSE)</f>
        <v>.</v>
      </c>
      <c r="Q83" s="98">
        <f t="shared" si="3"/>
        <v>0</v>
      </c>
    </row>
    <row r="84" spans="1:17">
      <c r="A84" s="95">
        <v>44184</v>
      </c>
      <c r="B84" s="82" t="s">
        <v>22</v>
      </c>
      <c r="J84" s="99"/>
      <c r="L84" s="87"/>
      <c r="N84" s="82" t="str">
        <f>TEXT(VLOOKUP(B84,Routine!$A:$E,3,FALSE),"G/표준;;")</f>
        <v/>
      </c>
      <c r="O84" s="82" t="str">
        <f>TEXT(VLOOKUP(B84,Routine!$A:$E,4,FALSE),"G/표준;;")</f>
        <v/>
      </c>
      <c r="P84" s="97" t="str">
        <f>VLOOKUP(B84,Routine!$A:$F,5,FALSE)</f>
        <v>.</v>
      </c>
      <c r="Q84" s="98">
        <f t="shared" si="3"/>
        <v>0</v>
      </c>
    </row>
    <row r="85" spans="1:17">
      <c r="A85" s="95">
        <v>44185</v>
      </c>
      <c r="B85" s="82" t="s">
        <v>24</v>
      </c>
      <c r="J85" s="99"/>
      <c r="N85" s="82" t="str">
        <f>TEXT(VLOOKUP(B85,Routine!$A:$E,3,FALSE),"G/표준;;")</f>
        <v/>
      </c>
      <c r="O85" s="82" t="str">
        <f>TEXT(VLOOKUP(B85,Routine!$A:$E,4,FALSE),"G/표준;;")</f>
        <v/>
      </c>
      <c r="P85" s="97" t="str">
        <f>VLOOKUP(B85,Routine!$A:$F,5,FALSE)</f>
        <v>.</v>
      </c>
      <c r="Q85" s="98">
        <f t="shared" si="3"/>
        <v>0</v>
      </c>
    </row>
    <row r="86" spans="1:17">
      <c r="A86" s="95">
        <v>44186</v>
      </c>
      <c r="B86" s="82" t="s">
        <v>12</v>
      </c>
      <c r="J86" s="99"/>
      <c r="L86" s="104"/>
      <c r="N86" s="82" t="str">
        <f>TEXT(VLOOKUP(B86,Routine!$A:$E,3,FALSE),"G/표준;;")</f>
        <v/>
      </c>
      <c r="O86" s="82" t="str">
        <f>TEXT(VLOOKUP(B86,Routine!$A:$E,4,FALSE),"G/표준;;")</f>
        <v/>
      </c>
      <c r="P86" s="97" t="str">
        <f>VLOOKUP(B86,Routine!$A:$F,5,FALSE)</f>
        <v>.</v>
      </c>
      <c r="Q86" s="98">
        <f t="shared" si="3"/>
        <v>0</v>
      </c>
    </row>
    <row r="87" spans="1:17">
      <c r="A87" s="95">
        <v>44187</v>
      </c>
      <c r="B87" s="82" t="s">
        <v>14</v>
      </c>
      <c r="J87" s="99"/>
      <c r="N87" s="82" t="str">
        <f>TEXT(VLOOKUP(B87,Routine!$A:$E,3,FALSE),"G/표준;;")</f>
        <v/>
      </c>
      <c r="O87" s="82" t="str">
        <f>TEXT(VLOOKUP(B87,Routine!$A:$E,4,FALSE),"G/표준;;")</f>
        <v/>
      </c>
      <c r="P87" s="97" t="str">
        <f>VLOOKUP(B87,Routine!$A:$F,5,FALSE)</f>
        <v>.</v>
      </c>
      <c r="Q87" s="98">
        <f t="shared" si="3"/>
        <v>0</v>
      </c>
    </row>
    <row r="88" spans="1:17">
      <c r="A88" s="95">
        <v>44188</v>
      </c>
      <c r="B88" s="82" t="s">
        <v>16</v>
      </c>
      <c r="J88" s="99"/>
      <c r="N88" s="82" t="str">
        <f>TEXT(VLOOKUP(B88,Routine!$A:$E,3,FALSE),"G/표준;;")</f>
        <v/>
      </c>
      <c r="O88" s="82" t="str">
        <f>TEXT(VLOOKUP(B88,Routine!$A:$E,4,FALSE),"G/표준;;")</f>
        <v/>
      </c>
      <c r="P88" s="97" t="str">
        <f>VLOOKUP(B88,Routine!$A:$F,5,FALSE)</f>
        <v>.</v>
      </c>
      <c r="Q88" s="98">
        <f t="shared" si="3"/>
        <v>0</v>
      </c>
    </row>
    <row r="89" spans="1:17">
      <c r="A89" s="95">
        <v>44189</v>
      </c>
      <c r="B89" s="82" t="s">
        <v>18</v>
      </c>
      <c r="J89" s="99"/>
      <c r="N89" s="82" t="str">
        <f>TEXT(VLOOKUP(B89,Routine!$A:$E,3,FALSE),"G/표준;;")</f>
        <v/>
      </c>
      <c r="O89" s="82" t="str">
        <f>TEXT(VLOOKUP(B89,Routine!$A:$E,4,FALSE),"G/표준;;")</f>
        <v/>
      </c>
      <c r="P89" s="97" t="str">
        <f>VLOOKUP(B89,Routine!$A:$F,5,FALSE)</f>
        <v>.</v>
      </c>
      <c r="Q89" s="98">
        <f t="shared" si="3"/>
        <v>0</v>
      </c>
    </row>
    <row r="90" spans="1:17">
      <c r="A90" s="95">
        <v>44190</v>
      </c>
      <c r="B90" s="82" t="s">
        <v>20</v>
      </c>
      <c r="J90" s="99"/>
      <c r="N90" s="82" t="str">
        <f>TEXT(VLOOKUP(B90,Routine!$A:$E,3,FALSE),"G/표준;;")</f>
        <v/>
      </c>
      <c r="O90" s="82" t="str">
        <f>TEXT(VLOOKUP(B90,Routine!$A:$E,4,FALSE),"G/표준;;")</f>
        <v/>
      </c>
      <c r="P90" s="97" t="str">
        <f>VLOOKUP(B90,Routine!$A:$F,5,FALSE)</f>
        <v>.</v>
      </c>
      <c r="Q90" s="98">
        <f t="shared" si="3"/>
        <v>0</v>
      </c>
    </row>
    <row r="91" spans="1:17">
      <c r="A91" s="95">
        <v>44191</v>
      </c>
      <c r="B91" s="82" t="s">
        <v>22</v>
      </c>
      <c r="J91" s="99"/>
      <c r="N91" s="82" t="str">
        <f>TEXT(VLOOKUP(B91,Routine!$A:$E,3,FALSE),"G/표준;;")</f>
        <v/>
      </c>
      <c r="O91" s="82" t="str">
        <f>TEXT(VLOOKUP(B91,Routine!$A:$E,4,FALSE),"G/표준;;")</f>
        <v/>
      </c>
      <c r="P91" s="97" t="str">
        <f>VLOOKUP(B91,Routine!$A:$F,5,FALSE)</f>
        <v>.</v>
      </c>
      <c r="Q91" s="98">
        <f t="shared" si="3"/>
        <v>0</v>
      </c>
    </row>
    <row r="92" spans="1:17">
      <c r="A92" s="95">
        <v>44192</v>
      </c>
      <c r="B92" s="82" t="s">
        <v>24</v>
      </c>
      <c r="J92" s="99"/>
      <c r="N92" s="82" t="str">
        <f>TEXT(VLOOKUP(B92,Routine!$A:$E,3,FALSE),"G/표준;;")</f>
        <v/>
      </c>
      <c r="O92" s="82" t="str">
        <f>TEXT(VLOOKUP(B92,Routine!$A:$E,4,FALSE),"G/표준;;")</f>
        <v/>
      </c>
      <c r="P92" s="97" t="str">
        <f>VLOOKUP(B92,Routine!$A:$F,5,FALSE)</f>
        <v>.</v>
      </c>
      <c r="Q92" s="98">
        <f t="shared" si="3"/>
        <v>0</v>
      </c>
    </row>
    <row r="93" spans="1:17">
      <c r="A93" s="95">
        <v>44193</v>
      </c>
      <c r="B93" s="82" t="s">
        <v>12</v>
      </c>
      <c r="J93" s="99"/>
      <c r="N93" s="82" t="str">
        <f>TEXT(VLOOKUP(B93,Routine!$A:$E,3,FALSE),"G/표준;;")</f>
        <v/>
      </c>
      <c r="O93" s="82" t="str">
        <f>TEXT(VLOOKUP(B93,Routine!$A:$E,4,FALSE),"G/표준;;")</f>
        <v/>
      </c>
      <c r="P93" s="97" t="str">
        <f>VLOOKUP(B93,Routine!$A:$F,5,FALSE)</f>
        <v>.</v>
      </c>
      <c r="Q93" s="98">
        <f t="shared" si="3"/>
        <v>0</v>
      </c>
    </row>
    <row r="94" spans="1:17">
      <c r="A94" s="95">
        <v>44194</v>
      </c>
      <c r="B94" s="82" t="s">
        <v>14</v>
      </c>
      <c r="J94" s="99"/>
      <c r="N94" s="82" t="str">
        <f>TEXT(VLOOKUP(B94,Routine!$A:$E,3,FALSE),"G/표준;;")</f>
        <v/>
      </c>
      <c r="O94" s="82" t="str">
        <f>TEXT(VLOOKUP(B94,Routine!$A:$E,4,FALSE),"G/표준;;")</f>
        <v/>
      </c>
      <c r="P94" s="97" t="str">
        <f>VLOOKUP(B94,Routine!$A:$F,5,FALSE)</f>
        <v>.</v>
      </c>
      <c r="Q94" s="98">
        <f t="shared" si="3"/>
        <v>0</v>
      </c>
    </row>
    <row r="95" spans="1:17">
      <c r="A95" s="95">
        <v>44195</v>
      </c>
      <c r="B95" s="82" t="s">
        <v>16</v>
      </c>
      <c r="J95" s="99"/>
      <c r="N95" s="82" t="str">
        <f>TEXT(VLOOKUP(B95,Routine!$A:$E,3,FALSE),"G/표준;;")</f>
        <v/>
      </c>
      <c r="O95" s="82" t="str">
        <f>TEXT(VLOOKUP(B95,Routine!$A:$E,4,FALSE),"G/표준;;")</f>
        <v/>
      </c>
      <c r="P95" s="97" t="str">
        <f>VLOOKUP(B95,Routine!$A:$F,5,FALSE)</f>
        <v>.</v>
      </c>
      <c r="Q95" s="98">
        <f t="shared" si="3"/>
        <v>0</v>
      </c>
    </row>
    <row r="96" spans="1:17">
      <c r="A96" s="95">
        <v>44196</v>
      </c>
      <c r="B96" s="82" t="s">
        <v>18</v>
      </c>
      <c r="J96" s="99"/>
      <c r="N96" s="82" t="str">
        <f>TEXT(VLOOKUP(B96,Routine!$A:$E,3,FALSE),"G/표준;;")</f>
        <v/>
      </c>
      <c r="O96" s="82" t="str">
        <f>TEXT(VLOOKUP(B96,Routine!$A:$E,4,FALSE),"G/표준;;")</f>
        <v/>
      </c>
      <c r="P96" s="97" t="str">
        <f>VLOOKUP(B96,Routine!$A:$F,5,FALSE)</f>
        <v>.</v>
      </c>
      <c r="Q96" s="98">
        <f t="shared" si="3"/>
        <v>0</v>
      </c>
    </row>
    <row r="97" spans="1:17">
      <c r="A97" s="95">
        <v>44197</v>
      </c>
      <c r="B97" s="82" t="s">
        <v>20</v>
      </c>
      <c r="D97" s="84"/>
      <c r="E97" s="81"/>
      <c r="F97" s="81"/>
      <c r="G97" s="81"/>
      <c r="H97" s="81"/>
      <c r="N97" s="82" t="str">
        <f>TEXT(VLOOKUP(B97,Routine!$A:$E,3,FALSE),"G/표준;;")</f>
        <v/>
      </c>
      <c r="O97" s="82" t="str">
        <f>TEXT(VLOOKUP(B97,Routine!$A:$E,4,FALSE),"G/표준;;")</f>
        <v/>
      </c>
      <c r="P97" s="97" t="str">
        <f>VLOOKUP(B97,Routine!$A:$F,5,FALSE)</f>
        <v>.</v>
      </c>
      <c r="Q97" s="98">
        <f t="shared" si="3"/>
        <v>0</v>
      </c>
    </row>
    <row r="98" spans="1:17" ht="17.5" customHeight="1">
      <c r="A98" s="95">
        <v>44198</v>
      </c>
      <c r="B98" s="82" t="s">
        <v>22</v>
      </c>
      <c r="D98" s="84"/>
      <c r="E98" s="81"/>
      <c r="F98" s="81"/>
      <c r="G98" s="81"/>
      <c r="H98" s="81"/>
      <c r="N98" s="82" t="str">
        <f>TEXT(VLOOKUP(B98,Routine!$A:$E,3,FALSE),"G/표준;;")</f>
        <v/>
      </c>
      <c r="O98" s="82" t="str">
        <f>TEXT(VLOOKUP(B98,Routine!$A:$E,4,FALSE),"G/표준;;")</f>
        <v/>
      </c>
      <c r="P98" s="97" t="str">
        <f>VLOOKUP(B98,Routine!$A:$F,5,FALSE)</f>
        <v>.</v>
      </c>
      <c r="Q98" s="98">
        <f t="shared" ref="Q98:Q129" si="4">COUNTA($D97:$K97)-COUNTIF($D97:$K97,".")-COUNTIF($D97:$K97," ")</f>
        <v>0</v>
      </c>
    </row>
    <row r="99" spans="1:17">
      <c r="A99" s="95">
        <v>44199</v>
      </c>
      <c r="B99" s="82" t="s">
        <v>24</v>
      </c>
      <c r="D99" s="86"/>
      <c r="E99" s="81"/>
      <c r="F99" s="81"/>
      <c r="G99" s="81"/>
      <c r="H99" s="81"/>
      <c r="N99" s="82" t="str">
        <f>TEXT(VLOOKUP(B99,Routine!$A:$E,3,FALSE),"G/표준;;")</f>
        <v/>
      </c>
      <c r="O99" s="82" t="str">
        <f>TEXT(VLOOKUP(B99,Routine!$A:$E,4,FALSE),"G/표준;;")</f>
        <v/>
      </c>
      <c r="P99" s="97" t="str">
        <f>VLOOKUP(B99,Routine!$A:$F,5,FALSE)</f>
        <v>.</v>
      </c>
      <c r="Q99" s="98">
        <f t="shared" si="4"/>
        <v>0</v>
      </c>
    </row>
    <row r="100" spans="1:17">
      <c r="A100" s="95">
        <v>44200</v>
      </c>
      <c r="B100" s="82" t="s">
        <v>12</v>
      </c>
      <c r="D100" s="81"/>
      <c r="E100" s="81"/>
      <c r="F100" s="81"/>
      <c r="G100" s="81"/>
      <c r="H100" s="81"/>
      <c r="N100" s="82" t="str">
        <f>TEXT(VLOOKUP(B100,Routine!$A:$E,3,FALSE),"G/표준;;")</f>
        <v/>
      </c>
      <c r="O100" s="82" t="str">
        <f>TEXT(VLOOKUP(B100,Routine!$A:$E,4,FALSE),"G/표준;;")</f>
        <v/>
      </c>
      <c r="P100" s="97" t="str">
        <f>VLOOKUP(B100,Routine!$A:$F,5,FALSE)</f>
        <v>.</v>
      </c>
      <c r="Q100" s="98">
        <f t="shared" si="4"/>
        <v>0</v>
      </c>
    </row>
    <row r="101" spans="1:17">
      <c r="A101" s="95">
        <v>44201</v>
      </c>
      <c r="B101" s="82" t="s">
        <v>14</v>
      </c>
      <c r="D101" s="81"/>
      <c r="E101" s="81"/>
      <c r="F101" s="81"/>
      <c r="G101" s="81"/>
      <c r="H101" s="81"/>
      <c r="N101" s="82" t="str">
        <f>TEXT(VLOOKUP(B101,Routine!$A:$E,3,FALSE),"G/표준;;")</f>
        <v/>
      </c>
      <c r="O101" s="82" t="str">
        <f>TEXT(VLOOKUP(B101,Routine!$A:$E,4,FALSE),"G/표준;;")</f>
        <v/>
      </c>
      <c r="P101" s="97" t="str">
        <f>VLOOKUP(B101,Routine!$A:$F,5,FALSE)</f>
        <v>.</v>
      </c>
      <c r="Q101" s="98">
        <f t="shared" si="4"/>
        <v>0</v>
      </c>
    </row>
    <row r="102" spans="1:17">
      <c r="A102" s="95">
        <v>44202</v>
      </c>
      <c r="B102" s="82" t="s">
        <v>16</v>
      </c>
      <c r="D102" s="81"/>
      <c r="E102" s="81"/>
      <c r="F102" s="81"/>
      <c r="G102" s="81"/>
      <c r="H102" s="81"/>
      <c r="N102" s="82" t="str">
        <f>TEXT(VLOOKUP(B102,Routine!$A:$E,3,FALSE),"G/표준;;")</f>
        <v/>
      </c>
      <c r="O102" s="82" t="str">
        <f>TEXT(VLOOKUP(B102,Routine!$A:$E,4,FALSE),"G/표준;;")</f>
        <v/>
      </c>
      <c r="P102" s="97" t="str">
        <f>VLOOKUP(B102,Routine!$A:$F,5,FALSE)</f>
        <v>.</v>
      </c>
      <c r="Q102" s="98">
        <f t="shared" si="4"/>
        <v>0</v>
      </c>
    </row>
    <row r="103" spans="1:17">
      <c r="A103" s="95">
        <v>44203</v>
      </c>
      <c r="B103" s="82" t="s">
        <v>18</v>
      </c>
      <c r="D103" s="86"/>
      <c r="E103" s="81"/>
      <c r="F103" s="81"/>
      <c r="G103" s="81"/>
      <c r="H103" s="81"/>
      <c r="N103" s="82" t="str">
        <f>TEXT(VLOOKUP(B103,Routine!$A:$E,3,FALSE),"G/표준;;")</f>
        <v/>
      </c>
      <c r="O103" s="82" t="str">
        <f>TEXT(VLOOKUP(B103,Routine!$A:$E,4,FALSE),"G/표준;;")</f>
        <v/>
      </c>
      <c r="P103" s="97" t="str">
        <f>VLOOKUP(B103,Routine!$A:$F,5,FALSE)</f>
        <v>.</v>
      </c>
      <c r="Q103" s="98">
        <f t="shared" si="4"/>
        <v>0</v>
      </c>
    </row>
    <row r="104" spans="1:17">
      <c r="A104" s="95">
        <v>44204</v>
      </c>
      <c r="B104" s="82" t="s">
        <v>20</v>
      </c>
      <c r="D104" s="84"/>
      <c r="E104" s="81"/>
      <c r="F104" s="81"/>
      <c r="G104" s="81"/>
      <c r="H104" s="81"/>
      <c r="N104" s="82" t="str">
        <f>TEXT(VLOOKUP(B104,Routine!$A:$E,3,FALSE),"G/표준;;")</f>
        <v/>
      </c>
      <c r="O104" s="82" t="str">
        <f>TEXT(VLOOKUP(B104,Routine!$A:$E,4,FALSE),"G/표준;;")</f>
        <v/>
      </c>
      <c r="P104" s="97" t="str">
        <f>VLOOKUP(B104,Routine!$A:$F,5,FALSE)</f>
        <v>.</v>
      </c>
      <c r="Q104" s="98">
        <f t="shared" si="4"/>
        <v>0</v>
      </c>
    </row>
    <row r="105" spans="1:17">
      <c r="A105" s="95">
        <v>44205</v>
      </c>
      <c r="B105" s="82" t="s">
        <v>22</v>
      </c>
      <c r="D105" s="81"/>
      <c r="E105" s="81"/>
      <c r="F105" s="81"/>
      <c r="G105" s="81"/>
      <c r="H105" s="81"/>
      <c r="N105" s="82" t="str">
        <f>TEXT(VLOOKUP(B105,Routine!$A:$E,3,FALSE),"G/표준;;")</f>
        <v/>
      </c>
      <c r="O105" s="82" t="str">
        <f>TEXT(VLOOKUP(B105,Routine!$A:$E,4,FALSE),"G/표준;;")</f>
        <v/>
      </c>
      <c r="P105" s="97" t="str">
        <f>VLOOKUP(B105,Routine!$A:$F,5,FALSE)</f>
        <v>.</v>
      </c>
      <c r="Q105" s="98">
        <f t="shared" si="4"/>
        <v>0</v>
      </c>
    </row>
    <row r="106" spans="1:17">
      <c r="A106" s="95">
        <v>44206</v>
      </c>
      <c r="B106" s="82" t="s">
        <v>24</v>
      </c>
      <c r="D106" s="81"/>
      <c r="E106" s="81"/>
      <c r="F106" s="81"/>
      <c r="G106" s="81"/>
      <c r="H106" s="81"/>
      <c r="N106" s="82" t="str">
        <f>TEXT(VLOOKUP(B106,Routine!$A:$E,3,FALSE),"G/표준;;")</f>
        <v/>
      </c>
      <c r="O106" s="82" t="str">
        <f>TEXT(VLOOKUP(B106,Routine!$A:$E,4,FALSE),"G/표준;;")</f>
        <v/>
      </c>
      <c r="P106" s="97" t="str">
        <f>VLOOKUP(B106,Routine!$A:$F,5,FALSE)</f>
        <v>.</v>
      </c>
      <c r="Q106" s="98">
        <f t="shared" si="4"/>
        <v>0</v>
      </c>
    </row>
    <row r="107" spans="1:17">
      <c r="A107" s="95">
        <v>44207</v>
      </c>
      <c r="B107" s="82" t="s">
        <v>12</v>
      </c>
      <c r="D107" s="81"/>
      <c r="E107" s="81"/>
      <c r="F107" s="81"/>
      <c r="G107" s="81"/>
      <c r="H107" s="81"/>
      <c r="N107" s="82" t="str">
        <f>TEXT(VLOOKUP(B107,Routine!$A:$E,3,FALSE),"G/표준;;")</f>
        <v/>
      </c>
      <c r="O107" s="82" t="str">
        <f>TEXT(VLOOKUP(B107,Routine!$A:$E,4,FALSE),"G/표준;;")</f>
        <v/>
      </c>
      <c r="P107" s="97" t="str">
        <f>VLOOKUP(B107,Routine!$A:$F,5,FALSE)</f>
        <v>.</v>
      </c>
      <c r="Q107" s="98">
        <f t="shared" si="4"/>
        <v>0</v>
      </c>
    </row>
    <row r="108" spans="1:17">
      <c r="A108" s="95">
        <v>44208</v>
      </c>
      <c r="B108" s="82" t="s">
        <v>14</v>
      </c>
      <c r="D108" s="81"/>
      <c r="E108" s="81"/>
      <c r="F108" s="81"/>
      <c r="G108" s="81"/>
      <c r="H108" s="81"/>
      <c r="N108" s="82" t="str">
        <f>TEXT(VLOOKUP(B108,Routine!$A:$E,3,FALSE),"G/표준;;")</f>
        <v/>
      </c>
      <c r="O108" s="82" t="str">
        <f>TEXT(VLOOKUP(B108,Routine!$A:$E,4,FALSE),"G/표준;;")</f>
        <v/>
      </c>
      <c r="P108" s="97" t="str">
        <f>VLOOKUP(B108,Routine!$A:$F,5,FALSE)</f>
        <v>.</v>
      </c>
      <c r="Q108" s="98">
        <f t="shared" si="4"/>
        <v>0</v>
      </c>
    </row>
    <row r="109" spans="1:17">
      <c r="A109" s="95">
        <v>44209</v>
      </c>
      <c r="B109" s="82" t="s">
        <v>16</v>
      </c>
      <c r="D109" s="81"/>
      <c r="E109" s="81"/>
      <c r="F109" s="81"/>
      <c r="G109" s="81"/>
      <c r="H109" s="81"/>
      <c r="N109" s="82" t="str">
        <f>TEXT(VLOOKUP(B109,Routine!$A:$E,3,FALSE),"G/표준;;")</f>
        <v/>
      </c>
      <c r="O109" s="82" t="str">
        <f>TEXT(VLOOKUP(B109,Routine!$A:$E,4,FALSE),"G/표준;;")</f>
        <v/>
      </c>
      <c r="P109" s="97" t="str">
        <f>VLOOKUP(B109,Routine!$A:$F,5,FALSE)</f>
        <v>.</v>
      </c>
      <c r="Q109" s="98">
        <f t="shared" si="4"/>
        <v>0</v>
      </c>
    </row>
    <row r="110" spans="1:17">
      <c r="A110" s="95">
        <v>44210</v>
      </c>
      <c r="B110" s="82" t="s">
        <v>18</v>
      </c>
      <c r="D110" s="81"/>
      <c r="E110" s="81"/>
      <c r="F110" s="81"/>
      <c r="G110" s="81"/>
      <c r="H110" s="81"/>
      <c r="N110" s="82" t="str">
        <f>TEXT(VLOOKUP(B110,Routine!$A:$E,3,FALSE),"G/표준;;")</f>
        <v/>
      </c>
      <c r="O110" s="82" t="str">
        <f>TEXT(VLOOKUP(B110,Routine!$A:$E,4,FALSE),"G/표준;;")</f>
        <v/>
      </c>
      <c r="P110" s="97" t="str">
        <f>VLOOKUP(B110,Routine!$A:$F,5,FALSE)</f>
        <v>.</v>
      </c>
      <c r="Q110" s="98">
        <f t="shared" si="4"/>
        <v>0</v>
      </c>
    </row>
    <row r="111" spans="1:17">
      <c r="A111" s="95">
        <v>44211</v>
      </c>
      <c r="B111" s="82" t="s">
        <v>20</v>
      </c>
      <c r="D111" s="81"/>
      <c r="E111" s="81"/>
      <c r="F111" s="81"/>
      <c r="G111" s="81"/>
      <c r="H111" s="81"/>
      <c r="N111" s="82" t="str">
        <f>TEXT(VLOOKUP(B111,Routine!$A:$E,3,FALSE),"G/표준;;")</f>
        <v/>
      </c>
      <c r="O111" s="82" t="str">
        <f>TEXT(VLOOKUP(B111,Routine!$A:$E,4,FALSE),"G/표준;;")</f>
        <v/>
      </c>
      <c r="P111" s="97" t="str">
        <f>VLOOKUP(B111,Routine!$A:$F,5,FALSE)</f>
        <v>.</v>
      </c>
      <c r="Q111" s="98">
        <f t="shared" si="4"/>
        <v>0</v>
      </c>
    </row>
    <row r="112" spans="1:17">
      <c r="A112" s="95">
        <v>44212</v>
      </c>
      <c r="B112" s="82" t="s">
        <v>22</v>
      </c>
      <c r="D112" s="81"/>
      <c r="E112" s="81"/>
      <c r="F112" s="81"/>
      <c r="G112" s="81"/>
      <c r="H112" s="81"/>
      <c r="N112" s="82" t="str">
        <f>TEXT(VLOOKUP(B112,Routine!$A:$E,3,FALSE),"G/표준;;")</f>
        <v/>
      </c>
      <c r="O112" s="82" t="str">
        <f>TEXT(VLOOKUP(B112,Routine!$A:$E,4,FALSE),"G/표준;;")</f>
        <v/>
      </c>
      <c r="P112" s="97" t="str">
        <f>VLOOKUP(B112,Routine!$A:$F,5,FALSE)</f>
        <v>.</v>
      </c>
      <c r="Q112" s="98">
        <f t="shared" si="4"/>
        <v>0</v>
      </c>
    </row>
    <row r="113" spans="1:17">
      <c r="A113" s="95">
        <v>44213</v>
      </c>
      <c r="B113" s="82" t="s">
        <v>24</v>
      </c>
      <c r="D113" s="81"/>
      <c r="E113" s="81"/>
      <c r="F113" s="81"/>
      <c r="G113" s="81"/>
      <c r="H113" s="81"/>
      <c r="N113" s="82" t="str">
        <f>TEXT(VLOOKUP(B113,Routine!$A:$E,3,FALSE),"G/표준;;")</f>
        <v/>
      </c>
      <c r="O113" s="82" t="str">
        <f>TEXT(VLOOKUP(B113,Routine!$A:$E,4,FALSE),"G/표준;;")</f>
        <v/>
      </c>
      <c r="P113" s="97" t="str">
        <f>VLOOKUP(B113,Routine!$A:$F,5,FALSE)</f>
        <v>.</v>
      </c>
      <c r="Q113" s="98">
        <f t="shared" si="4"/>
        <v>0</v>
      </c>
    </row>
    <row r="114" spans="1:17">
      <c r="A114" s="95">
        <v>44214</v>
      </c>
      <c r="B114" s="82" t="s">
        <v>12</v>
      </c>
      <c r="D114" s="81"/>
      <c r="E114" s="81"/>
      <c r="F114" s="81"/>
      <c r="G114" s="81"/>
      <c r="H114" s="81"/>
      <c r="N114" s="82" t="str">
        <f>TEXT(VLOOKUP(B114,Routine!$A:$E,3,FALSE),"G/표준;;")</f>
        <v/>
      </c>
      <c r="O114" s="82" t="str">
        <f>TEXT(VLOOKUP(B114,Routine!$A:$E,4,FALSE),"G/표준;;")</f>
        <v/>
      </c>
      <c r="P114" s="97" t="str">
        <f>VLOOKUP(B114,Routine!$A:$F,5,FALSE)</f>
        <v>.</v>
      </c>
      <c r="Q114" s="98">
        <f t="shared" si="4"/>
        <v>0</v>
      </c>
    </row>
    <row r="115" spans="1:17">
      <c r="A115" s="95">
        <v>44215</v>
      </c>
      <c r="B115" s="82" t="s">
        <v>14</v>
      </c>
      <c r="D115" s="81"/>
      <c r="E115" s="81"/>
      <c r="F115" s="81"/>
      <c r="G115" s="81"/>
      <c r="H115" s="81"/>
      <c r="N115" s="82" t="str">
        <f>TEXT(VLOOKUP(B115,Routine!$A:$E,3,FALSE),"G/표준;;")</f>
        <v/>
      </c>
      <c r="O115" s="82" t="str">
        <f>TEXT(VLOOKUP(B115,Routine!$A:$E,4,FALSE),"G/표준;;")</f>
        <v/>
      </c>
      <c r="P115" s="97" t="str">
        <f>VLOOKUP(B115,Routine!$A:$F,5,FALSE)</f>
        <v>.</v>
      </c>
      <c r="Q115" s="98">
        <f t="shared" si="4"/>
        <v>0</v>
      </c>
    </row>
    <row r="116" spans="1:17">
      <c r="A116" s="95">
        <v>44216</v>
      </c>
      <c r="B116" s="82" t="s">
        <v>16</v>
      </c>
      <c r="D116" s="81"/>
      <c r="E116" s="81"/>
      <c r="F116" s="81"/>
      <c r="G116" s="81"/>
      <c r="H116" s="81"/>
      <c r="N116" s="82" t="str">
        <f>TEXT(VLOOKUP(B116,Routine!$A:$E,3,FALSE),"G/표준;;")</f>
        <v/>
      </c>
      <c r="O116" s="82" t="str">
        <f>TEXT(VLOOKUP(B116,Routine!$A:$E,4,FALSE),"G/표준;;")</f>
        <v/>
      </c>
      <c r="P116" s="97" t="str">
        <f>VLOOKUP(B116,Routine!$A:$F,5,FALSE)</f>
        <v>.</v>
      </c>
      <c r="Q116" s="98">
        <f t="shared" si="4"/>
        <v>0</v>
      </c>
    </row>
    <row r="117" spans="1:17">
      <c r="A117" s="95">
        <v>44217</v>
      </c>
      <c r="B117" s="82" t="s">
        <v>18</v>
      </c>
      <c r="D117" s="81"/>
      <c r="E117" s="81"/>
      <c r="F117" s="81"/>
      <c r="G117" s="81"/>
      <c r="H117" s="81"/>
      <c r="N117" s="82" t="str">
        <f>TEXT(VLOOKUP(B117,Routine!$A:$E,3,FALSE),"G/표준;;")</f>
        <v/>
      </c>
      <c r="O117" s="82" t="str">
        <f>TEXT(VLOOKUP(B117,Routine!$A:$E,4,FALSE),"G/표준;;")</f>
        <v/>
      </c>
      <c r="P117" s="97" t="str">
        <f>VLOOKUP(B117,Routine!$A:$F,5,FALSE)</f>
        <v>.</v>
      </c>
      <c r="Q117" s="98">
        <f t="shared" si="4"/>
        <v>0</v>
      </c>
    </row>
    <row r="118" spans="1:17">
      <c r="A118" s="95">
        <v>44218</v>
      </c>
      <c r="B118" s="82" t="s">
        <v>20</v>
      </c>
      <c r="D118" s="81"/>
      <c r="E118" s="81"/>
      <c r="F118" s="81"/>
      <c r="G118" s="81"/>
      <c r="H118" s="81"/>
      <c r="N118" s="82" t="str">
        <f>TEXT(VLOOKUP(B118,Routine!$A:$E,3,FALSE),"G/표준;;")</f>
        <v/>
      </c>
      <c r="O118" s="82" t="str">
        <f>TEXT(VLOOKUP(B118,Routine!$A:$E,4,FALSE),"G/표준;;")</f>
        <v/>
      </c>
      <c r="P118" s="97" t="str">
        <f>VLOOKUP(B118,Routine!$A:$F,5,FALSE)</f>
        <v>.</v>
      </c>
      <c r="Q118" s="98">
        <f t="shared" si="4"/>
        <v>0</v>
      </c>
    </row>
    <row r="119" spans="1:17">
      <c r="A119" s="95">
        <v>44219</v>
      </c>
      <c r="B119" s="82" t="s">
        <v>22</v>
      </c>
      <c r="D119" s="81"/>
      <c r="E119" s="81"/>
      <c r="F119" s="81"/>
      <c r="G119" s="81"/>
      <c r="H119" s="81"/>
      <c r="N119" s="82" t="str">
        <f>TEXT(VLOOKUP(B119,Routine!$A:$E,3,FALSE),"G/표준;;")</f>
        <v/>
      </c>
      <c r="O119" s="82" t="str">
        <f>TEXT(VLOOKUP(B119,Routine!$A:$E,4,FALSE),"G/표준;;")</f>
        <v/>
      </c>
      <c r="P119" s="97" t="str">
        <f>VLOOKUP(B119,Routine!$A:$F,5,FALSE)</f>
        <v>.</v>
      </c>
      <c r="Q119" s="98">
        <f t="shared" si="4"/>
        <v>0</v>
      </c>
    </row>
    <row r="120" spans="1:17">
      <c r="A120" s="95">
        <v>44220</v>
      </c>
      <c r="B120" s="82" t="s">
        <v>24</v>
      </c>
      <c r="D120" s="81"/>
      <c r="E120" s="81"/>
      <c r="F120" s="81"/>
      <c r="G120" s="81"/>
      <c r="H120" s="81"/>
      <c r="N120" s="82" t="str">
        <f>TEXT(VLOOKUP(B120,Routine!$A:$E,3,FALSE),"G/표준;;")</f>
        <v/>
      </c>
      <c r="O120" s="82" t="str">
        <f>TEXT(VLOOKUP(B120,Routine!$A:$E,4,FALSE),"G/표준;;")</f>
        <v/>
      </c>
      <c r="P120" s="97" t="str">
        <f>VLOOKUP(B120,Routine!$A:$F,5,FALSE)</f>
        <v>.</v>
      </c>
      <c r="Q120" s="98">
        <f t="shared" si="4"/>
        <v>0</v>
      </c>
    </row>
    <row r="121" spans="1:17">
      <c r="A121" s="95">
        <v>44221</v>
      </c>
      <c r="B121" s="82" t="s">
        <v>12</v>
      </c>
      <c r="D121" s="81"/>
      <c r="E121" s="81"/>
      <c r="F121" s="81"/>
      <c r="G121" s="81"/>
      <c r="H121" s="81"/>
      <c r="N121" s="82" t="str">
        <f>TEXT(VLOOKUP(B121,Routine!$A:$E,3,FALSE),"G/표준;;")</f>
        <v/>
      </c>
      <c r="O121" s="82" t="str">
        <f>TEXT(VLOOKUP(B121,Routine!$A:$E,4,FALSE),"G/표준;;")</f>
        <v/>
      </c>
      <c r="P121" s="97" t="str">
        <f>VLOOKUP(B121,Routine!$A:$F,5,FALSE)</f>
        <v>.</v>
      </c>
      <c r="Q121" s="98">
        <f t="shared" si="4"/>
        <v>0</v>
      </c>
    </row>
    <row r="122" spans="1:17">
      <c r="A122" s="95">
        <v>44222</v>
      </c>
      <c r="B122" s="82" t="s">
        <v>14</v>
      </c>
      <c r="D122" s="81"/>
      <c r="E122" s="81"/>
      <c r="F122" s="81"/>
      <c r="G122" s="81"/>
      <c r="H122" s="81"/>
      <c r="N122" s="82" t="str">
        <f>TEXT(VLOOKUP(B122,Routine!$A:$E,3,FALSE),"G/표준;;")</f>
        <v/>
      </c>
      <c r="O122" s="82" t="str">
        <f>TEXT(VLOOKUP(B122,Routine!$A:$E,4,FALSE),"G/표준;;")</f>
        <v/>
      </c>
      <c r="P122" s="97" t="str">
        <f>VLOOKUP(B122,Routine!$A:$F,5,FALSE)</f>
        <v>.</v>
      </c>
      <c r="Q122" s="98">
        <f t="shared" si="4"/>
        <v>0</v>
      </c>
    </row>
    <row r="123" spans="1:17">
      <c r="A123" s="95">
        <v>44223</v>
      </c>
      <c r="B123" s="82" t="s">
        <v>16</v>
      </c>
      <c r="D123" s="81"/>
      <c r="E123" s="81"/>
      <c r="F123" s="81"/>
      <c r="G123" s="81"/>
      <c r="H123" s="81"/>
      <c r="N123" s="82" t="str">
        <f>TEXT(VLOOKUP(B123,Routine!$A:$E,3,FALSE),"G/표준;;")</f>
        <v/>
      </c>
      <c r="O123" s="82" t="str">
        <f>TEXT(VLOOKUP(B123,Routine!$A:$E,4,FALSE),"G/표준;;")</f>
        <v/>
      </c>
      <c r="P123" s="97" t="str">
        <f>VLOOKUP(B123,Routine!$A:$F,5,FALSE)</f>
        <v>.</v>
      </c>
      <c r="Q123" s="98">
        <f t="shared" si="4"/>
        <v>0</v>
      </c>
    </row>
    <row r="124" spans="1:17">
      <c r="A124" s="95">
        <v>44224</v>
      </c>
      <c r="B124" s="82" t="s">
        <v>18</v>
      </c>
      <c r="D124" s="81"/>
      <c r="E124" s="81"/>
      <c r="F124" s="81"/>
      <c r="G124" s="81"/>
      <c r="H124" s="81"/>
      <c r="N124" s="82" t="str">
        <f>TEXT(VLOOKUP(B124,Routine!$A:$E,3,FALSE),"G/표준;;")</f>
        <v/>
      </c>
      <c r="O124" s="82" t="str">
        <f>TEXT(VLOOKUP(B124,Routine!$A:$E,4,FALSE),"G/표준;;")</f>
        <v/>
      </c>
      <c r="P124" s="97" t="str">
        <f>VLOOKUP(B124,Routine!$A:$F,5,FALSE)</f>
        <v>.</v>
      </c>
      <c r="Q124" s="98">
        <f t="shared" si="4"/>
        <v>0</v>
      </c>
    </row>
    <row r="125" spans="1:17">
      <c r="A125" s="95">
        <v>44225</v>
      </c>
      <c r="B125" s="82" t="s">
        <v>20</v>
      </c>
      <c r="D125" s="81"/>
      <c r="E125" s="81"/>
      <c r="F125" s="81"/>
      <c r="G125" s="81"/>
      <c r="H125" s="81"/>
      <c r="N125" s="82" t="str">
        <f>TEXT(VLOOKUP(B125,Routine!$A:$E,3,FALSE),"G/표준;;")</f>
        <v/>
      </c>
      <c r="O125" s="82" t="str">
        <f>TEXT(VLOOKUP(B125,Routine!$A:$E,4,FALSE),"G/표준;;")</f>
        <v/>
      </c>
      <c r="P125" s="97" t="str">
        <f>VLOOKUP(B125,Routine!$A:$F,5,FALSE)</f>
        <v>.</v>
      </c>
      <c r="Q125" s="98">
        <f t="shared" si="4"/>
        <v>0</v>
      </c>
    </row>
    <row r="126" spans="1:17">
      <c r="A126" s="95">
        <v>44226</v>
      </c>
      <c r="B126" s="82" t="s">
        <v>22</v>
      </c>
      <c r="D126" s="81"/>
      <c r="E126" s="81"/>
      <c r="F126" s="81"/>
      <c r="G126" s="81"/>
      <c r="H126" s="81"/>
      <c r="N126" s="82" t="str">
        <f>TEXT(VLOOKUP(B126,Routine!$A:$E,3,FALSE),"G/표준;;")</f>
        <v/>
      </c>
      <c r="O126" s="82" t="str">
        <f>TEXT(VLOOKUP(B126,Routine!$A:$E,4,FALSE),"G/표준;;")</f>
        <v/>
      </c>
      <c r="P126" s="97" t="str">
        <f>VLOOKUP(B126,Routine!$A:$F,5,FALSE)</f>
        <v>.</v>
      </c>
      <c r="Q126" s="98">
        <f t="shared" si="4"/>
        <v>0</v>
      </c>
    </row>
    <row r="127" spans="1:17">
      <c r="A127" s="95">
        <v>44227</v>
      </c>
      <c r="B127" s="82" t="s">
        <v>24</v>
      </c>
      <c r="D127" s="81"/>
      <c r="E127" s="81"/>
      <c r="F127" s="81"/>
      <c r="G127" s="81"/>
      <c r="H127" s="81"/>
      <c r="N127" s="82" t="str">
        <f>TEXT(VLOOKUP(B127,Routine!$A:$E,3,FALSE),"G/표준;;")</f>
        <v/>
      </c>
      <c r="O127" s="82" t="str">
        <f>TEXT(VLOOKUP(B127,Routine!$A:$E,4,FALSE),"G/표준;;")</f>
        <v/>
      </c>
      <c r="P127" s="97" t="str">
        <f>VLOOKUP(B127,Routine!$A:$F,5,FALSE)</f>
        <v>.</v>
      </c>
      <c r="Q127" s="98">
        <f t="shared" si="4"/>
        <v>0</v>
      </c>
    </row>
    <row r="128" spans="1:17">
      <c r="A128" s="95">
        <v>44228</v>
      </c>
      <c r="B128" s="82" t="s">
        <v>12</v>
      </c>
      <c r="F128" s="81"/>
      <c r="G128" s="81"/>
      <c r="H128" s="81"/>
      <c r="N128" s="82" t="str">
        <f>TEXT(VLOOKUP(B128,Routine!$A:$E,3,FALSE),"G/표준;;")</f>
        <v/>
      </c>
      <c r="O128" s="82" t="str">
        <f>TEXT(VLOOKUP(B128,Routine!$A:$E,4,FALSE),"G/표준;;")</f>
        <v/>
      </c>
      <c r="P128" s="97" t="str">
        <f>VLOOKUP(B128,Routine!$A:$F,5,FALSE)</f>
        <v>.</v>
      </c>
      <c r="Q128" s="98">
        <f t="shared" si="4"/>
        <v>0</v>
      </c>
    </row>
    <row r="129" spans="1:17">
      <c r="A129" s="95">
        <v>44229</v>
      </c>
      <c r="B129" s="82" t="s">
        <v>14</v>
      </c>
      <c r="N129" s="82" t="str">
        <f>TEXT(VLOOKUP(B129,Routine!$A:$E,3,FALSE),"G/표준;;")</f>
        <v/>
      </c>
      <c r="O129" s="82" t="str">
        <f>TEXT(VLOOKUP(B129,Routine!$A:$E,4,FALSE),"G/표준;;")</f>
        <v/>
      </c>
      <c r="P129" s="97" t="str">
        <f>VLOOKUP(B129,Routine!$A:$F,5,FALSE)</f>
        <v>.</v>
      </c>
      <c r="Q129" s="98">
        <f t="shared" si="4"/>
        <v>0</v>
      </c>
    </row>
    <row r="130" spans="1:17">
      <c r="A130" s="95">
        <v>44230</v>
      </c>
      <c r="B130" s="82" t="s">
        <v>16</v>
      </c>
      <c r="D130" s="84"/>
      <c r="E130" s="81"/>
      <c r="N130" s="82" t="str">
        <f>TEXT(VLOOKUP(B130,Routine!$A:$E,3,FALSE),"G/표준;;")</f>
        <v/>
      </c>
      <c r="O130" s="82" t="str">
        <f>TEXT(VLOOKUP(B130,Routine!$A:$E,4,FALSE),"G/표준;;")</f>
        <v/>
      </c>
      <c r="P130" s="97" t="str">
        <f>VLOOKUP(B130,Routine!$A:$F,5,FALSE)</f>
        <v>.</v>
      </c>
      <c r="Q130" s="98">
        <f t="shared" ref="Q130:Q161" si="5">COUNTA($D129:$K129)-COUNTIF($D129:$K129,".")-COUNTIF($D129:$K129," ")</f>
        <v>0</v>
      </c>
    </row>
    <row r="131" spans="1:17">
      <c r="A131" s="95">
        <v>44231</v>
      </c>
      <c r="B131" s="82" t="s">
        <v>18</v>
      </c>
      <c r="D131" s="84"/>
      <c r="N131" s="82" t="str">
        <f>TEXT(VLOOKUP(B131,Routine!$A:$E,3,FALSE),"G/표준;;")</f>
        <v/>
      </c>
      <c r="O131" s="82" t="str">
        <f>TEXT(VLOOKUP(B131,Routine!$A:$E,4,FALSE),"G/표준;;")</f>
        <v/>
      </c>
      <c r="P131" s="97" t="str">
        <f>VLOOKUP(B131,Routine!$A:$F,5,FALSE)</f>
        <v>.</v>
      </c>
      <c r="Q131" s="98">
        <f t="shared" si="5"/>
        <v>0</v>
      </c>
    </row>
    <row r="132" spans="1:17">
      <c r="A132" s="95">
        <v>44232</v>
      </c>
      <c r="B132" s="82" t="s">
        <v>20</v>
      </c>
      <c r="N132" s="82" t="str">
        <f>TEXT(VLOOKUP(B132,Routine!$A:$E,3,FALSE),"G/표준;;")</f>
        <v/>
      </c>
      <c r="O132" s="82" t="str">
        <f>TEXT(VLOOKUP(B132,Routine!$A:$E,4,FALSE),"G/표준;;")</f>
        <v/>
      </c>
      <c r="P132" s="97" t="str">
        <f>VLOOKUP(B132,Routine!$A:$F,5,FALSE)</f>
        <v>.</v>
      </c>
      <c r="Q132" s="98">
        <f t="shared" si="5"/>
        <v>0</v>
      </c>
    </row>
    <row r="133" spans="1:17">
      <c r="A133" s="95">
        <v>44233</v>
      </c>
      <c r="B133" s="82" t="s">
        <v>22</v>
      </c>
      <c r="N133" s="82" t="str">
        <f>TEXT(VLOOKUP(B133,Routine!$A:$E,3,FALSE),"G/표준;;")</f>
        <v/>
      </c>
      <c r="O133" s="82" t="str">
        <f>TEXT(VLOOKUP(B133,Routine!$A:$E,4,FALSE),"G/표준;;")</f>
        <v/>
      </c>
      <c r="P133" s="97" t="str">
        <f>VLOOKUP(B133,Routine!$A:$F,5,FALSE)</f>
        <v>.</v>
      </c>
      <c r="Q133" s="98">
        <f t="shared" si="5"/>
        <v>0</v>
      </c>
    </row>
    <row r="134" spans="1:17">
      <c r="A134" s="95">
        <v>44234</v>
      </c>
      <c r="B134" s="82" t="s">
        <v>24</v>
      </c>
      <c r="N134" s="82" t="str">
        <f>TEXT(VLOOKUP(B134,Routine!$A:$E,3,FALSE),"G/표준;;")</f>
        <v/>
      </c>
      <c r="O134" s="82" t="str">
        <f>TEXT(VLOOKUP(B134,Routine!$A:$E,4,FALSE),"G/표준;;")</f>
        <v/>
      </c>
      <c r="P134" s="97" t="str">
        <f>VLOOKUP(B134,Routine!$A:$F,5,FALSE)</f>
        <v>.</v>
      </c>
      <c r="Q134" s="98">
        <f t="shared" si="5"/>
        <v>0</v>
      </c>
    </row>
    <row r="135" spans="1:17">
      <c r="A135" s="95">
        <v>44235</v>
      </c>
      <c r="B135" s="82" t="s">
        <v>12</v>
      </c>
      <c r="N135" s="82" t="str">
        <f>TEXT(VLOOKUP(B135,Routine!$A:$E,3,FALSE),"G/표준;;")</f>
        <v/>
      </c>
      <c r="O135" s="82" t="str">
        <f>TEXT(VLOOKUP(B135,Routine!$A:$E,4,FALSE),"G/표준;;")</f>
        <v/>
      </c>
      <c r="P135" s="97" t="str">
        <f>VLOOKUP(B135,Routine!$A:$F,5,FALSE)</f>
        <v>.</v>
      </c>
      <c r="Q135" s="98">
        <f t="shared" si="5"/>
        <v>0</v>
      </c>
    </row>
    <row r="136" spans="1:17">
      <c r="A136" s="95">
        <v>44236</v>
      </c>
      <c r="B136" s="82" t="s">
        <v>14</v>
      </c>
      <c r="N136" s="82" t="str">
        <f>TEXT(VLOOKUP(B136,Routine!$A:$E,3,FALSE),"G/표준;;")</f>
        <v/>
      </c>
      <c r="O136" s="82" t="str">
        <f>TEXT(VLOOKUP(B136,Routine!$A:$E,4,FALSE),"G/표준;;")</f>
        <v/>
      </c>
      <c r="P136" s="97" t="str">
        <f>VLOOKUP(B136,Routine!$A:$F,5,FALSE)</f>
        <v>.</v>
      </c>
      <c r="Q136" s="98">
        <f t="shared" si="5"/>
        <v>0</v>
      </c>
    </row>
    <row r="137" spans="1:17">
      <c r="A137" s="95">
        <v>44237</v>
      </c>
      <c r="B137" s="82" t="s">
        <v>16</v>
      </c>
      <c r="N137" s="82" t="str">
        <f>TEXT(VLOOKUP(B137,Routine!$A:$E,3,FALSE),"G/표준;;")</f>
        <v/>
      </c>
      <c r="O137" s="82" t="str">
        <f>TEXT(VLOOKUP(B137,Routine!$A:$E,4,FALSE),"G/표준;;")</f>
        <v/>
      </c>
      <c r="P137" s="97" t="str">
        <f>VLOOKUP(B137,Routine!$A:$F,5,FALSE)</f>
        <v>.</v>
      </c>
      <c r="Q137" s="98">
        <f t="shared" si="5"/>
        <v>0</v>
      </c>
    </row>
    <row r="138" spans="1:17">
      <c r="A138" s="95">
        <v>44238</v>
      </c>
      <c r="B138" s="82" t="s">
        <v>18</v>
      </c>
      <c r="N138" s="82" t="str">
        <f>TEXT(VLOOKUP(B138,Routine!$A:$E,3,FALSE),"G/표준;;")</f>
        <v/>
      </c>
      <c r="O138" s="82" t="str">
        <f>TEXT(VLOOKUP(B138,Routine!$A:$E,4,FALSE),"G/표준;;")</f>
        <v/>
      </c>
      <c r="P138" s="97" t="str">
        <f>VLOOKUP(B138,Routine!$A:$F,5,FALSE)</f>
        <v>.</v>
      </c>
      <c r="Q138" s="98">
        <f t="shared" si="5"/>
        <v>0</v>
      </c>
    </row>
    <row r="139" spans="1:17">
      <c r="A139" s="95">
        <v>44239</v>
      </c>
      <c r="B139" s="82" t="s">
        <v>20</v>
      </c>
      <c r="N139" s="82" t="str">
        <f>TEXT(VLOOKUP(B139,Routine!$A:$E,3,FALSE),"G/표준;;")</f>
        <v/>
      </c>
      <c r="O139" s="82" t="str">
        <f>TEXT(VLOOKUP(B139,Routine!$A:$E,4,FALSE),"G/표준;;")</f>
        <v/>
      </c>
      <c r="P139" s="97" t="str">
        <f>VLOOKUP(B139,Routine!$A:$F,5,FALSE)</f>
        <v>.</v>
      </c>
      <c r="Q139" s="98">
        <f t="shared" si="5"/>
        <v>0</v>
      </c>
    </row>
    <row r="140" spans="1:17">
      <c r="A140" s="95">
        <v>44240</v>
      </c>
      <c r="B140" s="82" t="s">
        <v>22</v>
      </c>
      <c r="N140" s="82" t="str">
        <f>TEXT(VLOOKUP(B140,Routine!$A:$E,3,FALSE),"G/표준;;")</f>
        <v/>
      </c>
      <c r="O140" s="82" t="str">
        <f>TEXT(VLOOKUP(B140,Routine!$A:$E,4,FALSE),"G/표준;;")</f>
        <v/>
      </c>
      <c r="P140" s="97" t="str">
        <f>VLOOKUP(B140,Routine!$A:$F,5,FALSE)</f>
        <v>.</v>
      </c>
      <c r="Q140" s="98">
        <f t="shared" si="5"/>
        <v>0</v>
      </c>
    </row>
    <row r="141" spans="1:17">
      <c r="A141" s="95">
        <v>44241</v>
      </c>
      <c r="B141" s="82" t="s">
        <v>24</v>
      </c>
      <c r="N141" s="82" t="str">
        <f>TEXT(VLOOKUP(B141,Routine!$A:$E,3,FALSE),"G/표준;;")</f>
        <v/>
      </c>
      <c r="O141" s="82" t="str">
        <f>TEXT(VLOOKUP(B141,Routine!$A:$E,4,FALSE),"G/표준;;")</f>
        <v/>
      </c>
      <c r="P141" s="97" t="str">
        <f>VLOOKUP(B141,Routine!$A:$F,5,FALSE)</f>
        <v>.</v>
      </c>
      <c r="Q141" s="98">
        <f t="shared" si="5"/>
        <v>0</v>
      </c>
    </row>
    <row r="142" spans="1:17">
      <c r="A142" s="95">
        <v>44242</v>
      </c>
      <c r="B142" s="82" t="s">
        <v>12</v>
      </c>
      <c r="N142" s="82" t="str">
        <f>TEXT(VLOOKUP(B142,Routine!$A:$E,3,FALSE),"G/표준;;")</f>
        <v/>
      </c>
      <c r="O142" s="82" t="str">
        <f>TEXT(VLOOKUP(B142,Routine!$A:$E,4,FALSE),"G/표준;;")</f>
        <v/>
      </c>
      <c r="P142" s="97" t="str">
        <f>VLOOKUP(B142,Routine!$A:$F,5,FALSE)</f>
        <v>.</v>
      </c>
      <c r="Q142" s="98">
        <f t="shared" si="5"/>
        <v>0</v>
      </c>
    </row>
    <row r="143" spans="1:17">
      <c r="A143" s="95">
        <v>44243</v>
      </c>
      <c r="B143" s="82" t="s">
        <v>14</v>
      </c>
      <c r="N143" s="82" t="str">
        <f>TEXT(VLOOKUP(B143,Routine!$A:$E,3,FALSE),"G/표준;;")</f>
        <v/>
      </c>
      <c r="O143" s="82" t="str">
        <f>TEXT(VLOOKUP(B143,Routine!$A:$E,4,FALSE),"G/표준;;")</f>
        <v/>
      </c>
      <c r="P143" s="97" t="str">
        <f>VLOOKUP(B143,Routine!$A:$F,5,FALSE)</f>
        <v>.</v>
      </c>
      <c r="Q143" s="98">
        <f t="shared" si="5"/>
        <v>0</v>
      </c>
    </row>
    <row r="144" spans="1:17">
      <c r="A144" s="95">
        <v>44244</v>
      </c>
      <c r="B144" s="82" t="s">
        <v>16</v>
      </c>
      <c r="N144" s="82" t="str">
        <f>TEXT(VLOOKUP(B144,Routine!$A:$E,3,FALSE),"G/표준;;")</f>
        <v/>
      </c>
      <c r="O144" s="82" t="str">
        <f>TEXT(VLOOKUP(B144,Routine!$A:$E,4,FALSE),"G/표준;;")</f>
        <v/>
      </c>
      <c r="P144" s="97" t="str">
        <f>VLOOKUP(B144,Routine!$A:$F,5,FALSE)</f>
        <v>.</v>
      </c>
      <c r="Q144" s="98">
        <f t="shared" si="5"/>
        <v>0</v>
      </c>
    </row>
    <row r="145" spans="1:17">
      <c r="A145" s="95">
        <v>44245</v>
      </c>
      <c r="B145" s="82" t="s">
        <v>18</v>
      </c>
      <c r="N145" s="82" t="str">
        <f>TEXT(VLOOKUP(B145,Routine!$A:$E,3,FALSE),"G/표준;;")</f>
        <v/>
      </c>
      <c r="O145" s="82" t="str">
        <f>TEXT(VLOOKUP(B145,Routine!$A:$E,4,FALSE),"G/표준;;")</f>
        <v/>
      </c>
      <c r="P145" s="97" t="str">
        <f>VLOOKUP(B145,Routine!$A:$F,5,FALSE)</f>
        <v>.</v>
      </c>
      <c r="Q145" s="98">
        <f t="shared" si="5"/>
        <v>0</v>
      </c>
    </row>
    <row r="146" spans="1:17">
      <c r="A146" s="95">
        <v>44246</v>
      </c>
      <c r="B146" s="82" t="s">
        <v>20</v>
      </c>
      <c r="N146" s="82" t="str">
        <f>TEXT(VLOOKUP(B146,Routine!$A:$E,3,FALSE),"G/표준;;")</f>
        <v/>
      </c>
      <c r="O146" s="82" t="str">
        <f>TEXT(VLOOKUP(B146,Routine!$A:$E,4,FALSE),"G/표준;;")</f>
        <v/>
      </c>
      <c r="P146" s="97" t="str">
        <f>VLOOKUP(B146,Routine!$A:$F,5,FALSE)</f>
        <v>.</v>
      </c>
      <c r="Q146" s="98">
        <f t="shared" si="5"/>
        <v>0</v>
      </c>
    </row>
    <row r="147" spans="1:17">
      <c r="A147" s="95">
        <v>44247</v>
      </c>
      <c r="B147" s="82" t="s">
        <v>22</v>
      </c>
      <c r="N147" s="82" t="str">
        <f>TEXT(VLOOKUP(B147,Routine!$A:$E,3,FALSE),"G/표준;;")</f>
        <v/>
      </c>
      <c r="O147" s="82" t="str">
        <f>TEXT(VLOOKUP(B147,Routine!$A:$E,4,FALSE),"G/표준;;")</f>
        <v/>
      </c>
      <c r="P147" s="97" t="str">
        <f>VLOOKUP(B147,Routine!$A:$F,5,FALSE)</f>
        <v>.</v>
      </c>
      <c r="Q147" s="98">
        <f t="shared" si="5"/>
        <v>0</v>
      </c>
    </row>
    <row r="148" spans="1:17">
      <c r="A148" s="95">
        <v>44248</v>
      </c>
      <c r="B148" s="82" t="s">
        <v>24</v>
      </c>
      <c r="N148" s="82" t="str">
        <f>TEXT(VLOOKUP(B148,Routine!$A:$E,3,FALSE),"G/표준;;")</f>
        <v/>
      </c>
      <c r="O148" s="82" t="str">
        <f>TEXT(VLOOKUP(B148,Routine!$A:$E,4,FALSE),"G/표준;;")</f>
        <v/>
      </c>
      <c r="P148" s="97" t="str">
        <f>VLOOKUP(B148,Routine!$A:$F,5,FALSE)</f>
        <v>.</v>
      </c>
      <c r="Q148" s="98">
        <f t="shared" si="5"/>
        <v>0</v>
      </c>
    </row>
    <row r="149" spans="1:17">
      <c r="A149" s="95">
        <v>44249</v>
      </c>
      <c r="B149" s="82" t="s">
        <v>12</v>
      </c>
      <c r="N149" s="82" t="str">
        <f>TEXT(VLOOKUP(B149,Routine!$A:$E,3,FALSE),"G/표준;;")</f>
        <v/>
      </c>
      <c r="O149" s="82" t="str">
        <f>TEXT(VLOOKUP(B149,Routine!$A:$E,4,FALSE),"G/표준;;")</f>
        <v/>
      </c>
      <c r="P149" s="97" t="str">
        <f>VLOOKUP(B149,Routine!$A:$F,5,FALSE)</f>
        <v>.</v>
      </c>
      <c r="Q149" s="98">
        <f t="shared" si="5"/>
        <v>0</v>
      </c>
    </row>
    <row r="150" spans="1:17">
      <c r="A150" s="95">
        <v>44250</v>
      </c>
      <c r="B150" s="82" t="s">
        <v>14</v>
      </c>
      <c r="N150" s="82" t="str">
        <f>TEXT(VLOOKUP(B150,Routine!$A:$E,3,FALSE),"G/표준;;")</f>
        <v/>
      </c>
      <c r="O150" s="82" t="str">
        <f>TEXT(VLOOKUP(B150,Routine!$A:$E,4,FALSE),"G/표준;;")</f>
        <v/>
      </c>
      <c r="P150" s="97" t="str">
        <f>VLOOKUP(B150,Routine!$A:$F,5,FALSE)</f>
        <v>.</v>
      </c>
      <c r="Q150" s="98">
        <f t="shared" si="5"/>
        <v>0</v>
      </c>
    </row>
    <row r="151" spans="1:17">
      <c r="A151" s="95">
        <v>44251</v>
      </c>
      <c r="B151" s="82" t="s">
        <v>16</v>
      </c>
      <c r="N151" s="82" t="str">
        <f>TEXT(VLOOKUP(B151,Routine!$A:$E,3,FALSE),"G/표준;;")</f>
        <v/>
      </c>
      <c r="O151" s="82" t="str">
        <f>TEXT(VLOOKUP(B151,Routine!$A:$E,4,FALSE),"G/표준;;")</f>
        <v/>
      </c>
      <c r="P151" s="97" t="str">
        <f>VLOOKUP(B151,Routine!$A:$F,5,FALSE)</f>
        <v>.</v>
      </c>
      <c r="Q151" s="98">
        <f t="shared" si="5"/>
        <v>0</v>
      </c>
    </row>
    <row r="152" spans="1:17">
      <c r="A152" s="95">
        <v>44252</v>
      </c>
      <c r="B152" s="82" t="s">
        <v>18</v>
      </c>
      <c r="N152" s="82" t="str">
        <f>TEXT(VLOOKUP(B152,Routine!$A:$E,3,FALSE),"G/표준;;")</f>
        <v/>
      </c>
      <c r="O152" s="82" t="str">
        <f>TEXT(VLOOKUP(B152,Routine!$A:$E,4,FALSE),"G/표준;;")</f>
        <v/>
      </c>
      <c r="P152" s="97" t="str">
        <f>VLOOKUP(B152,Routine!$A:$F,5,FALSE)</f>
        <v>.</v>
      </c>
      <c r="Q152" s="98">
        <f t="shared" si="5"/>
        <v>0</v>
      </c>
    </row>
    <row r="153" spans="1:17">
      <c r="A153" s="95">
        <v>44253</v>
      </c>
      <c r="B153" s="82" t="s">
        <v>20</v>
      </c>
      <c r="N153" s="82" t="str">
        <f>TEXT(VLOOKUP(B153,Routine!$A:$E,3,FALSE),"G/표준;;")</f>
        <v/>
      </c>
      <c r="O153" s="82" t="str">
        <f>TEXT(VLOOKUP(B153,Routine!$A:$E,4,FALSE),"G/표준;;")</f>
        <v/>
      </c>
      <c r="P153" s="97" t="str">
        <f>VLOOKUP(B153,Routine!$A:$F,5,FALSE)</f>
        <v>.</v>
      </c>
      <c r="Q153" s="98">
        <f t="shared" si="5"/>
        <v>0</v>
      </c>
    </row>
    <row r="154" spans="1:17">
      <c r="A154" s="95">
        <v>44254</v>
      </c>
      <c r="B154" s="82" t="s">
        <v>22</v>
      </c>
      <c r="N154" s="82" t="str">
        <f>TEXT(VLOOKUP(B154,Routine!$A:$E,3,FALSE),"G/표준;;")</f>
        <v/>
      </c>
      <c r="O154" s="82" t="str">
        <f>TEXT(VLOOKUP(B154,Routine!$A:$E,4,FALSE),"G/표준;;")</f>
        <v/>
      </c>
      <c r="P154" s="97" t="str">
        <f>VLOOKUP(B154,Routine!$A:$F,5,FALSE)</f>
        <v>.</v>
      </c>
      <c r="Q154" s="98">
        <f t="shared" si="5"/>
        <v>0</v>
      </c>
    </row>
    <row r="155" spans="1:17">
      <c r="A155" s="95">
        <v>44255</v>
      </c>
      <c r="B155" s="82" t="s">
        <v>24</v>
      </c>
      <c r="N155" s="82" t="str">
        <f>TEXT(VLOOKUP(B155,Routine!$A:$E,3,FALSE),"G/표준;;")</f>
        <v/>
      </c>
      <c r="O155" s="82" t="str">
        <f>TEXT(VLOOKUP(B155,Routine!$A:$E,4,FALSE),"G/표준;;")</f>
        <v/>
      </c>
      <c r="P155" s="97" t="str">
        <f>VLOOKUP(B155,Routine!$A:$F,5,FALSE)</f>
        <v>.</v>
      </c>
      <c r="Q155" s="98">
        <f t="shared" si="5"/>
        <v>0</v>
      </c>
    </row>
    <row r="156" spans="1:17">
      <c r="A156" s="95">
        <v>44256</v>
      </c>
      <c r="B156" s="82" t="s">
        <v>12</v>
      </c>
      <c r="N156" s="82" t="str">
        <f>TEXT(VLOOKUP(B156,Routine!$A:$E,3,FALSE),"G/표준;;")</f>
        <v/>
      </c>
      <c r="O156" s="82" t="str">
        <f>TEXT(VLOOKUP(B156,Routine!$A:$E,4,FALSE),"G/표준;;")</f>
        <v/>
      </c>
      <c r="P156" s="97" t="str">
        <f>VLOOKUP(B156,Routine!$A:$F,5,FALSE)</f>
        <v>.</v>
      </c>
      <c r="Q156" s="98">
        <f t="shared" si="5"/>
        <v>0</v>
      </c>
    </row>
    <row r="157" spans="1:17">
      <c r="A157" s="95">
        <v>44257</v>
      </c>
      <c r="B157" s="82" t="s">
        <v>14</v>
      </c>
      <c r="D157" s="83"/>
      <c r="N157" s="82" t="str">
        <f>TEXT(VLOOKUP(B157,Routine!$A:$E,3,FALSE),"G/표준;;")</f>
        <v/>
      </c>
      <c r="O157" s="82" t="str">
        <f>TEXT(VLOOKUP(B157,Routine!$A:$E,4,FALSE),"G/표준;;")</f>
        <v/>
      </c>
      <c r="P157" s="97" t="str">
        <f>VLOOKUP(B157,Routine!$A:$F,5,FALSE)</f>
        <v>.</v>
      </c>
      <c r="Q157" s="98">
        <f t="shared" si="5"/>
        <v>0</v>
      </c>
    </row>
    <row r="158" spans="1:17">
      <c r="A158" s="95">
        <v>44258</v>
      </c>
      <c r="B158" s="82" t="s">
        <v>16</v>
      </c>
      <c r="N158" s="82" t="str">
        <f>TEXT(VLOOKUP(B158,Routine!$A:$E,3,FALSE),"G/표준;;")</f>
        <v/>
      </c>
      <c r="O158" s="82" t="str">
        <f>TEXT(VLOOKUP(B158,Routine!$A:$E,4,FALSE),"G/표준;;")</f>
        <v/>
      </c>
      <c r="P158" s="97" t="str">
        <f>VLOOKUP(B158,Routine!$A:$F,5,FALSE)</f>
        <v>.</v>
      </c>
      <c r="Q158" s="98">
        <f t="shared" si="5"/>
        <v>0</v>
      </c>
    </row>
    <row r="159" spans="1:17">
      <c r="A159" s="95">
        <v>44259</v>
      </c>
      <c r="B159" s="82" t="s">
        <v>18</v>
      </c>
      <c r="N159" s="82" t="str">
        <f>TEXT(VLOOKUP(B159,Routine!$A:$E,3,FALSE),"G/표준;;")</f>
        <v/>
      </c>
      <c r="O159" s="82" t="str">
        <f>TEXT(VLOOKUP(B159,Routine!$A:$E,4,FALSE),"G/표준;;")</f>
        <v/>
      </c>
      <c r="P159" s="97" t="str">
        <f>VLOOKUP(B159,Routine!$A:$F,5,FALSE)</f>
        <v>.</v>
      </c>
      <c r="Q159" s="98">
        <f t="shared" si="5"/>
        <v>0</v>
      </c>
    </row>
    <row r="160" spans="1:17">
      <c r="A160" s="95">
        <v>44260</v>
      </c>
      <c r="B160" s="82" t="s">
        <v>20</v>
      </c>
      <c r="N160" s="82" t="str">
        <f>TEXT(VLOOKUP(B160,Routine!$A:$E,3,FALSE),"G/표준;;")</f>
        <v/>
      </c>
      <c r="O160" s="82" t="str">
        <f>TEXT(VLOOKUP(B160,Routine!$A:$E,4,FALSE),"G/표준;;")</f>
        <v/>
      </c>
      <c r="P160" s="97" t="str">
        <f>VLOOKUP(B160,Routine!$A:$F,5,FALSE)</f>
        <v>.</v>
      </c>
      <c r="Q160" s="98">
        <f t="shared" si="5"/>
        <v>0</v>
      </c>
    </row>
    <row r="161" spans="1:17">
      <c r="A161" s="95">
        <v>44261</v>
      </c>
      <c r="B161" s="82" t="s">
        <v>22</v>
      </c>
      <c r="N161" s="82" t="str">
        <f>TEXT(VLOOKUP(B161,Routine!$A:$E,3,FALSE),"G/표준;;")</f>
        <v/>
      </c>
      <c r="O161" s="82" t="str">
        <f>TEXT(VLOOKUP(B161,Routine!$A:$E,4,FALSE),"G/표준;;")</f>
        <v/>
      </c>
      <c r="P161" s="97" t="str">
        <f>VLOOKUP(B161,Routine!$A:$F,5,FALSE)</f>
        <v>.</v>
      </c>
      <c r="Q161" s="98">
        <f t="shared" si="5"/>
        <v>0</v>
      </c>
    </row>
    <row r="162" spans="1:17">
      <c r="A162" s="95">
        <v>44262</v>
      </c>
      <c r="B162" s="82" t="s">
        <v>24</v>
      </c>
      <c r="N162" s="82" t="str">
        <f>TEXT(VLOOKUP(B162,Routine!$A:$E,3,FALSE),"G/표준;;")</f>
        <v/>
      </c>
      <c r="O162" s="82" t="str">
        <f>TEXT(VLOOKUP(B162,Routine!$A:$E,4,FALSE),"G/표준;;")</f>
        <v/>
      </c>
      <c r="P162" s="97" t="str">
        <f>VLOOKUP(B162,Routine!$A:$F,5,FALSE)</f>
        <v>.</v>
      </c>
      <c r="Q162" s="98">
        <f t="shared" ref="Q162:Q190" si="6">COUNTA($D161:$K161)-COUNTIF($D161:$K161,".")-COUNTIF($D161:$K161," ")</f>
        <v>0</v>
      </c>
    </row>
    <row r="163" spans="1:17">
      <c r="A163" s="95">
        <v>44263</v>
      </c>
      <c r="B163" s="82" t="s">
        <v>12</v>
      </c>
      <c r="N163" s="82" t="str">
        <f>TEXT(VLOOKUP(B163,Routine!$A:$E,3,FALSE),"G/표준;;")</f>
        <v/>
      </c>
      <c r="O163" s="82" t="str">
        <f>TEXT(VLOOKUP(B163,Routine!$A:$E,4,FALSE),"G/표준;;")</f>
        <v/>
      </c>
      <c r="P163" s="97" t="str">
        <f>VLOOKUP(B163,Routine!$A:$F,5,FALSE)</f>
        <v>.</v>
      </c>
      <c r="Q163" s="98">
        <f t="shared" si="6"/>
        <v>0</v>
      </c>
    </row>
    <row r="164" spans="1:17">
      <c r="A164" s="95">
        <v>44264</v>
      </c>
      <c r="B164" s="82" t="s">
        <v>14</v>
      </c>
      <c r="N164" s="82" t="str">
        <f>TEXT(VLOOKUP(B164,Routine!$A:$E,3,FALSE),"G/표준;;")</f>
        <v/>
      </c>
      <c r="O164" s="82" t="str">
        <f>TEXT(VLOOKUP(B164,Routine!$A:$E,4,FALSE),"G/표준;;")</f>
        <v/>
      </c>
      <c r="P164" s="97" t="str">
        <f>VLOOKUP(B164,Routine!$A:$F,5,FALSE)</f>
        <v>.</v>
      </c>
      <c r="Q164" s="98">
        <f t="shared" si="6"/>
        <v>0</v>
      </c>
    </row>
    <row r="165" spans="1:17">
      <c r="A165" s="95">
        <v>44265</v>
      </c>
      <c r="B165" s="82" t="s">
        <v>16</v>
      </c>
      <c r="N165" s="82" t="str">
        <f>TEXT(VLOOKUP(B165,Routine!$A:$E,3,FALSE),"G/표준;;")</f>
        <v/>
      </c>
      <c r="O165" s="82" t="str">
        <f>TEXT(VLOOKUP(B165,Routine!$A:$E,4,FALSE),"G/표준;;")</f>
        <v/>
      </c>
      <c r="P165" s="97" t="str">
        <f>VLOOKUP(B165,Routine!$A:$F,5,FALSE)</f>
        <v>.</v>
      </c>
      <c r="Q165" s="98">
        <f t="shared" si="6"/>
        <v>0</v>
      </c>
    </row>
    <row r="166" spans="1:17">
      <c r="A166" s="95">
        <v>44266</v>
      </c>
      <c r="B166" s="82" t="s">
        <v>18</v>
      </c>
      <c r="N166" s="82" t="str">
        <f>TEXT(VLOOKUP(B166,Routine!$A:$E,3,FALSE),"G/표준;;")</f>
        <v/>
      </c>
      <c r="O166" s="82" t="str">
        <f>TEXT(VLOOKUP(B166,Routine!$A:$E,4,FALSE),"G/표준;;")</f>
        <v/>
      </c>
      <c r="P166" s="97" t="str">
        <f>VLOOKUP(B166,Routine!$A:$F,5,FALSE)</f>
        <v>.</v>
      </c>
      <c r="Q166" s="98">
        <f t="shared" si="6"/>
        <v>0</v>
      </c>
    </row>
    <row r="167" spans="1:17">
      <c r="A167" s="95">
        <v>44267</v>
      </c>
      <c r="B167" s="82" t="s">
        <v>20</v>
      </c>
      <c r="N167" s="82" t="str">
        <f>TEXT(VLOOKUP(B167,Routine!$A:$E,3,FALSE),"G/표준;;")</f>
        <v/>
      </c>
      <c r="O167" s="82" t="str">
        <f>TEXT(VLOOKUP(B167,Routine!$A:$E,4,FALSE),"G/표준;;")</f>
        <v/>
      </c>
      <c r="P167" s="97" t="str">
        <f>VLOOKUP(B167,Routine!$A:$F,5,FALSE)</f>
        <v>.</v>
      </c>
      <c r="Q167" s="98">
        <f t="shared" si="6"/>
        <v>0</v>
      </c>
    </row>
    <row r="168" spans="1:17">
      <c r="A168" s="95">
        <v>44268</v>
      </c>
      <c r="B168" s="82" t="s">
        <v>22</v>
      </c>
      <c r="N168" s="82" t="str">
        <f>TEXT(VLOOKUP(B168,Routine!$A:$E,3,FALSE),"G/표준;;")</f>
        <v/>
      </c>
      <c r="O168" s="82" t="str">
        <f>TEXT(VLOOKUP(B168,Routine!$A:$E,4,FALSE),"G/표준;;")</f>
        <v/>
      </c>
      <c r="P168" s="97" t="str">
        <f>VLOOKUP(B168,Routine!$A:$F,5,FALSE)</f>
        <v>.</v>
      </c>
      <c r="Q168" s="98">
        <f t="shared" si="6"/>
        <v>0</v>
      </c>
    </row>
    <row r="169" spans="1:17">
      <c r="A169" s="95">
        <v>44269</v>
      </c>
      <c r="B169" s="82" t="s">
        <v>24</v>
      </c>
      <c r="N169" s="82" t="str">
        <f>TEXT(VLOOKUP(B169,Routine!$A:$E,3,FALSE),"G/표준;;")</f>
        <v/>
      </c>
      <c r="O169" s="82" t="str">
        <f>TEXT(VLOOKUP(B169,Routine!$A:$E,4,FALSE),"G/표준;;")</f>
        <v/>
      </c>
      <c r="P169" s="97" t="str">
        <f>VLOOKUP(B169,Routine!$A:$F,5,FALSE)</f>
        <v>.</v>
      </c>
      <c r="Q169" s="98">
        <f t="shared" si="6"/>
        <v>0</v>
      </c>
    </row>
    <row r="170" spans="1:17">
      <c r="A170" s="95">
        <v>44270</v>
      </c>
      <c r="B170" s="82" t="s">
        <v>12</v>
      </c>
      <c r="N170" s="82" t="str">
        <f>TEXT(VLOOKUP(B170,Routine!$A:$E,3,FALSE),"G/표준;;")</f>
        <v/>
      </c>
      <c r="O170" s="82" t="str">
        <f>TEXT(VLOOKUP(B170,Routine!$A:$E,4,FALSE),"G/표준;;")</f>
        <v/>
      </c>
      <c r="P170" s="97" t="str">
        <f>VLOOKUP(B170,Routine!$A:$F,5,FALSE)</f>
        <v>.</v>
      </c>
      <c r="Q170" s="98">
        <f t="shared" si="6"/>
        <v>0</v>
      </c>
    </row>
    <row r="171" spans="1:17">
      <c r="A171" s="95">
        <v>44271</v>
      </c>
      <c r="B171" s="82" t="s">
        <v>14</v>
      </c>
      <c r="N171" s="82" t="str">
        <f>TEXT(VLOOKUP(B171,Routine!$A:$E,3,FALSE),"G/표준;;")</f>
        <v/>
      </c>
      <c r="O171" s="82" t="str">
        <f>TEXT(VLOOKUP(B171,Routine!$A:$E,4,FALSE),"G/표준;;")</f>
        <v/>
      </c>
      <c r="P171" s="97" t="str">
        <f>VLOOKUP(B171,Routine!$A:$F,5,FALSE)</f>
        <v>.</v>
      </c>
      <c r="Q171" s="98">
        <f t="shared" si="6"/>
        <v>0</v>
      </c>
    </row>
    <row r="172" spans="1:17">
      <c r="A172" s="95">
        <v>44272</v>
      </c>
      <c r="B172" s="82" t="s">
        <v>16</v>
      </c>
      <c r="N172" s="82" t="str">
        <f>TEXT(VLOOKUP(B172,Routine!$A:$E,3,FALSE),"G/표준;;")</f>
        <v/>
      </c>
      <c r="O172" s="82" t="str">
        <f>TEXT(VLOOKUP(B172,Routine!$A:$E,4,FALSE),"G/표준;;")</f>
        <v/>
      </c>
      <c r="P172" s="97" t="str">
        <f>VLOOKUP(B172,Routine!$A:$F,5,FALSE)</f>
        <v>.</v>
      </c>
      <c r="Q172" s="98">
        <f t="shared" si="6"/>
        <v>0</v>
      </c>
    </row>
    <row r="173" spans="1:17">
      <c r="A173" s="95">
        <v>44273</v>
      </c>
      <c r="B173" s="82" t="s">
        <v>18</v>
      </c>
      <c r="N173" s="82" t="str">
        <f>TEXT(VLOOKUP(B173,Routine!$A:$E,3,FALSE),"G/표준;;")</f>
        <v/>
      </c>
      <c r="O173" s="82" t="str">
        <f>TEXT(VLOOKUP(B173,Routine!$A:$E,4,FALSE),"G/표준;;")</f>
        <v/>
      </c>
      <c r="P173" s="97" t="str">
        <f>VLOOKUP(B173,Routine!$A:$F,5,FALSE)</f>
        <v>.</v>
      </c>
      <c r="Q173" s="98">
        <f t="shared" si="6"/>
        <v>0</v>
      </c>
    </row>
    <row r="174" spans="1:17">
      <c r="A174" s="95">
        <v>44274</v>
      </c>
      <c r="B174" s="82" t="s">
        <v>20</v>
      </c>
      <c r="N174" s="82" t="str">
        <f>TEXT(VLOOKUP(B174,Routine!$A:$E,3,FALSE),"G/표준;;")</f>
        <v/>
      </c>
      <c r="O174" s="82" t="str">
        <f>TEXT(VLOOKUP(B174,Routine!$A:$E,4,FALSE),"G/표준;;")</f>
        <v/>
      </c>
      <c r="P174" s="97" t="str">
        <f>VLOOKUP(B174,Routine!$A:$F,5,FALSE)</f>
        <v>.</v>
      </c>
      <c r="Q174" s="98">
        <f t="shared" si="6"/>
        <v>0</v>
      </c>
    </row>
    <row r="175" spans="1:17">
      <c r="A175" s="95">
        <v>44275</v>
      </c>
      <c r="B175" s="82" t="s">
        <v>22</v>
      </c>
      <c r="N175" s="82" t="str">
        <f>TEXT(VLOOKUP(B175,Routine!$A:$E,3,FALSE),"G/표준;;")</f>
        <v/>
      </c>
      <c r="O175" s="82" t="str">
        <f>TEXT(VLOOKUP(B175,Routine!$A:$E,4,FALSE),"G/표준;;")</f>
        <v/>
      </c>
      <c r="P175" s="97" t="str">
        <f>VLOOKUP(B175,Routine!$A:$F,5,FALSE)</f>
        <v>.</v>
      </c>
      <c r="Q175" s="98">
        <f t="shared" si="6"/>
        <v>0</v>
      </c>
    </row>
    <row r="176" spans="1:17">
      <c r="A176" s="95">
        <v>44276</v>
      </c>
      <c r="B176" s="82" t="s">
        <v>24</v>
      </c>
      <c r="N176" s="82" t="str">
        <f>TEXT(VLOOKUP(B176,Routine!$A:$E,3,FALSE),"G/표준;;")</f>
        <v/>
      </c>
      <c r="O176" s="82" t="str">
        <f>TEXT(VLOOKUP(B176,Routine!$A:$E,4,FALSE),"G/표준;;")</f>
        <v/>
      </c>
      <c r="P176" s="97" t="str">
        <f>VLOOKUP(B176,Routine!$A:$F,5,FALSE)</f>
        <v>.</v>
      </c>
      <c r="Q176" s="98">
        <f t="shared" si="6"/>
        <v>0</v>
      </c>
    </row>
    <row r="177" spans="1:17">
      <c r="A177" s="95">
        <v>44277</v>
      </c>
      <c r="B177" s="82" t="s">
        <v>12</v>
      </c>
      <c r="N177" s="82" t="str">
        <f>TEXT(VLOOKUP(B177,Routine!$A:$E,3,FALSE),"G/표준;;")</f>
        <v/>
      </c>
      <c r="O177" s="82" t="str">
        <f>TEXT(VLOOKUP(B177,Routine!$A:$E,4,FALSE),"G/표준;;")</f>
        <v/>
      </c>
      <c r="P177" s="97" t="str">
        <f>VLOOKUP(B177,Routine!$A:$F,5,FALSE)</f>
        <v>.</v>
      </c>
      <c r="Q177" s="98">
        <f t="shared" si="6"/>
        <v>0</v>
      </c>
    </row>
    <row r="178" spans="1:17">
      <c r="A178" s="95">
        <v>44278</v>
      </c>
      <c r="B178" s="82" t="s">
        <v>14</v>
      </c>
      <c r="N178" s="82" t="str">
        <f>TEXT(VLOOKUP(B178,Routine!$A:$E,3,FALSE),"G/표준;;")</f>
        <v/>
      </c>
      <c r="O178" s="82" t="str">
        <f>TEXT(VLOOKUP(B178,Routine!$A:$E,4,FALSE),"G/표준;;")</f>
        <v/>
      </c>
      <c r="P178" s="97" t="str">
        <f>VLOOKUP(B178,Routine!$A:$F,5,FALSE)</f>
        <v>.</v>
      </c>
      <c r="Q178" s="98">
        <f t="shared" si="6"/>
        <v>0</v>
      </c>
    </row>
    <row r="179" spans="1:17">
      <c r="A179" s="95">
        <v>44279</v>
      </c>
      <c r="B179" s="82" t="s">
        <v>16</v>
      </c>
      <c r="N179" s="82" t="str">
        <f>TEXT(VLOOKUP(B179,Routine!$A:$E,3,FALSE),"G/표준;;")</f>
        <v/>
      </c>
      <c r="O179" s="82" t="str">
        <f>TEXT(VLOOKUP(B179,Routine!$A:$E,4,FALSE),"G/표준;;")</f>
        <v/>
      </c>
      <c r="P179" s="97" t="str">
        <f>VLOOKUP(B179,Routine!$A:$F,5,FALSE)</f>
        <v>.</v>
      </c>
      <c r="Q179" s="98">
        <f t="shared" si="6"/>
        <v>0</v>
      </c>
    </row>
    <row r="180" spans="1:17">
      <c r="A180" s="95">
        <v>44280</v>
      </c>
      <c r="B180" s="82" t="s">
        <v>18</v>
      </c>
      <c r="N180" s="82" t="str">
        <f>TEXT(VLOOKUP(B180,Routine!$A:$E,3,FALSE),"G/표준;;")</f>
        <v/>
      </c>
      <c r="O180" s="82" t="str">
        <f>TEXT(VLOOKUP(B180,Routine!$A:$E,4,FALSE),"G/표준;;")</f>
        <v/>
      </c>
      <c r="P180" s="97" t="str">
        <f>VLOOKUP(B180,Routine!$A:$F,5,FALSE)</f>
        <v>.</v>
      </c>
      <c r="Q180" s="98">
        <f t="shared" si="6"/>
        <v>0</v>
      </c>
    </row>
    <row r="181" spans="1:17">
      <c r="A181" s="95">
        <v>44281</v>
      </c>
      <c r="B181" s="82" t="s">
        <v>20</v>
      </c>
      <c r="N181" s="82" t="str">
        <f>TEXT(VLOOKUP(B181,Routine!$A:$E,3,FALSE),"G/표준;;")</f>
        <v/>
      </c>
      <c r="O181" s="82" t="str">
        <f>TEXT(VLOOKUP(B181,Routine!$A:$E,4,FALSE),"G/표준;;")</f>
        <v/>
      </c>
      <c r="P181" s="97" t="str">
        <f>VLOOKUP(B181,Routine!$A:$F,5,FALSE)</f>
        <v>.</v>
      </c>
      <c r="Q181" s="98">
        <f t="shared" si="6"/>
        <v>0</v>
      </c>
    </row>
    <row r="182" spans="1:17">
      <c r="A182" s="95">
        <v>44282</v>
      </c>
      <c r="B182" s="82" t="s">
        <v>22</v>
      </c>
      <c r="N182" s="82" t="str">
        <f>TEXT(VLOOKUP(B182,Routine!$A:$E,3,FALSE),"G/표준;;")</f>
        <v/>
      </c>
      <c r="O182" s="82" t="str">
        <f>TEXT(VLOOKUP(B182,Routine!$A:$E,4,FALSE),"G/표준;;")</f>
        <v/>
      </c>
      <c r="P182" s="97" t="str">
        <f>VLOOKUP(B182,Routine!$A:$F,5,FALSE)</f>
        <v>.</v>
      </c>
      <c r="Q182" s="98">
        <f t="shared" si="6"/>
        <v>0</v>
      </c>
    </row>
    <row r="183" spans="1:17">
      <c r="A183" s="95">
        <v>44283</v>
      </c>
      <c r="B183" s="82" t="s">
        <v>24</v>
      </c>
      <c r="N183" s="82" t="str">
        <f>TEXT(VLOOKUP(B183,Routine!$A:$E,3,FALSE),"G/표준;;")</f>
        <v/>
      </c>
      <c r="O183" s="82" t="str">
        <f>TEXT(VLOOKUP(B183,Routine!$A:$E,4,FALSE),"G/표준;;")</f>
        <v/>
      </c>
      <c r="P183" s="97" t="str">
        <f>VLOOKUP(B183,Routine!$A:$F,5,FALSE)</f>
        <v>.</v>
      </c>
      <c r="Q183" s="98">
        <f t="shared" si="6"/>
        <v>0</v>
      </c>
    </row>
    <row r="184" spans="1:17">
      <c r="A184" s="95">
        <v>44284</v>
      </c>
      <c r="B184" s="82" t="s">
        <v>12</v>
      </c>
      <c r="N184" s="82" t="str">
        <f>TEXT(VLOOKUP(B184,Routine!$A:$E,3,FALSE),"G/표준;;")</f>
        <v/>
      </c>
      <c r="O184" s="82" t="str">
        <f>TEXT(VLOOKUP(B184,Routine!$A:$E,4,FALSE),"G/표준;;")</f>
        <v/>
      </c>
      <c r="P184" s="97" t="str">
        <f>VLOOKUP(B184,Routine!$A:$F,5,FALSE)</f>
        <v>.</v>
      </c>
      <c r="Q184" s="98">
        <f t="shared" si="6"/>
        <v>0</v>
      </c>
    </row>
    <row r="185" spans="1:17">
      <c r="A185" s="95">
        <v>44285</v>
      </c>
      <c r="B185" s="82" t="s">
        <v>14</v>
      </c>
      <c r="N185" s="82" t="str">
        <f>TEXT(VLOOKUP(B185,Routine!$A:$E,3,FALSE),"G/표준;;")</f>
        <v/>
      </c>
      <c r="O185" s="82" t="str">
        <f>TEXT(VLOOKUP(B185,Routine!$A:$E,4,FALSE),"G/표준;;")</f>
        <v/>
      </c>
      <c r="P185" s="97" t="str">
        <f>VLOOKUP(B185,Routine!$A:$F,5,FALSE)</f>
        <v>.</v>
      </c>
      <c r="Q185" s="98">
        <f t="shared" si="6"/>
        <v>0</v>
      </c>
    </row>
    <row r="186" spans="1:17">
      <c r="A186" s="95">
        <v>44286</v>
      </c>
      <c r="B186" s="82" t="s">
        <v>16</v>
      </c>
      <c r="N186" s="82" t="str">
        <f>TEXT(VLOOKUP(B186,Routine!$A:$E,3,FALSE),"G/표준;;")</f>
        <v/>
      </c>
      <c r="O186" s="82" t="str">
        <f>TEXT(VLOOKUP(B186,Routine!$A:$E,4,FALSE),"G/표준;;")</f>
        <v/>
      </c>
      <c r="P186" s="97" t="str">
        <f>VLOOKUP(B186,Routine!$A:$F,5,FALSE)</f>
        <v>.</v>
      </c>
      <c r="Q186" s="98">
        <f t="shared" si="6"/>
        <v>0</v>
      </c>
    </row>
    <row r="187" spans="1:17">
      <c r="A187" s="95">
        <v>44287</v>
      </c>
      <c r="B187" s="82" t="s">
        <v>18</v>
      </c>
      <c r="N187" s="82" t="str">
        <f>TEXT(VLOOKUP(B187,Routine!$A:$E,3,FALSE),"G/표준;;")</f>
        <v/>
      </c>
      <c r="O187" s="82" t="str">
        <f>TEXT(VLOOKUP(B187,Routine!$A:$E,4,FALSE),"G/표준;;")</f>
        <v/>
      </c>
      <c r="P187" s="97" t="str">
        <f>VLOOKUP(B187,Routine!$A:$F,5,FALSE)</f>
        <v>.</v>
      </c>
      <c r="Q187" s="98">
        <f t="shared" si="6"/>
        <v>0</v>
      </c>
    </row>
    <row r="188" spans="1:17">
      <c r="A188" s="95">
        <v>44288</v>
      </c>
      <c r="B188" s="82" t="s">
        <v>20</v>
      </c>
      <c r="N188" s="82" t="str">
        <f>TEXT(VLOOKUP(B188,Routine!$A:$E,3,FALSE),"G/표준;;")</f>
        <v/>
      </c>
      <c r="O188" s="82" t="str">
        <f>TEXT(VLOOKUP(B188,Routine!$A:$E,4,FALSE),"G/표준;;")</f>
        <v/>
      </c>
      <c r="P188" s="97" t="str">
        <f>VLOOKUP(B188,Routine!$A:$F,5,FALSE)</f>
        <v>.</v>
      </c>
      <c r="Q188" s="98">
        <f t="shared" si="6"/>
        <v>0</v>
      </c>
    </row>
    <row r="189" spans="1:17">
      <c r="A189" s="95">
        <v>44289</v>
      </c>
      <c r="B189" s="82" t="s">
        <v>22</v>
      </c>
      <c r="N189" s="82" t="str">
        <f>TEXT(VLOOKUP(B189,Routine!$A:$E,3,FALSE),"G/표준;;")</f>
        <v/>
      </c>
      <c r="O189" s="82" t="str">
        <f>TEXT(VLOOKUP(B189,Routine!$A:$E,4,FALSE),"G/표준;;")</f>
        <v/>
      </c>
      <c r="P189" s="97" t="str">
        <f>VLOOKUP(B189,Routine!$A:$F,5,FALSE)</f>
        <v>.</v>
      </c>
      <c r="Q189" s="98">
        <f t="shared" si="6"/>
        <v>0</v>
      </c>
    </row>
    <row r="190" spans="1:17">
      <c r="A190" s="95">
        <v>44290</v>
      </c>
      <c r="B190" s="82" t="s">
        <v>24</v>
      </c>
      <c r="N190" s="82" t="str">
        <f>TEXT(VLOOKUP(B190,Routine!$A:$E,3,FALSE),"G/표준;;")</f>
        <v/>
      </c>
      <c r="O190" s="82" t="str">
        <f>TEXT(VLOOKUP(B190,Routine!$A:$E,4,FALSE),"G/표준;;")</f>
        <v/>
      </c>
      <c r="P190" s="97" t="str">
        <f>VLOOKUP(B190,Routine!$A:$F,5,FALSE)</f>
        <v>.</v>
      </c>
      <c r="Q190" s="98">
        <f t="shared" si="6"/>
        <v>0</v>
      </c>
    </row>
    <row r="253" spans="1:2">
      <c r="A253" s="95">
        <v>44291</v>
      </c>
      <c r="B253" s="82" t="s">
        <v>12</v>
      </c>
    </row>
    <row r="254" spans="1:2">
      <c r="A254" s="95">
        <v>44292</v>
      </c>
      <c r="B254" s="82" t="s">
        <v>14</v>
      </c>
    </row>
    <row r="255" spans="1:2">
      <c r="A255" s="95">
        <v>44293</v>
      </c>
      <c r="B255" s="82" t="s">
        <v>16</v>
      </c>
    </row>
    <row r="256" spans="1:2">
      <c r="A256" s="95">
        <v>44294</v>
      </c>
      <c r="B256" s="82" t="s">
        <v>18</v>
      </c>
    </row>
    <row r="257" spans="1:2">
      <c r="A257" s="95">
        <v>44295</v>
      </c>
      <c r="B257" s="82" t="s">
        <v>20</v>
      </c>
    </row>
    <row r="258" spans="1:2">
      <c r="A258" s="95">
        <v>44296</v>
      </c>
      <c r="B258" s="82" t="s">
        <v>22</v>
      </c>
    </row>
    <row r="259" spans="1:2">
      <c r="A259" s="95">
        <v>44297</v>
      </c>
      <c r="B259" s="82" t="s">
        <v>24</v>
      </c>
    </row>
    <row r="260" spans="1:2">
      <c r="A260" s="95">
        <v>44298</v>
      </c>
      <c r="B260" s="82" t="s">
        <v>12</v>
      </c>
    </row>
    <row r="261" spans="1:2">
      <c r="A261" s="95">
        <v>44299</v>
      </c>
      <c r="B261" s="82" t="s">
        <v>14</v>
      </c>
    </row>
    <row r="262" spans="1:2">
      <c r="A262" s="95">
        <v>44300</v>
      </c>
      <c r="B262" s="82" t="s">
        <v>16</v>
      </c>
    </row>
    <row r="263" spans="1:2">
      <c r="A263" s="95">
        <v>44301</v>
      </c>
      <c r="B263" s="82" t="s">
        <v>18</v>
      </c>
    </row>
    <row r="264" spans="1:2">
      <c r="A264" s="95">
        <v>44302</v>
      </c>
      <c r="B264" s="82" t="s">
        <v>20</v>
      </c>
    </row>
    <row r="265" spans="1:2">
      <c r="A265" s="95">
        <v>44303</v>
      </c>
      <c r="B265" s="82" t="s">
        <v>22</v>
      </c>
    </row>
    <row r="266" spans="1:2">
      <c r="A266" s="95">
        <v>44304</v>
      </c>
      <c r="B266" s="82" t="s">
        <v>24</v>
      </c>
    </row>
    <row r="267" spans="1:2">
      <c r="A267" s="95">
        <v>44305</v>
      </c>
      <c r="B267" s="82" t="s">
        <v>12</v>
      </c>
    </row>
    <row r="268" spans="1:2">
      <c r="A268" s="95">
        <v>44306</v>
      </c>
      <c r="B268" s="82" t="s">
        <v>14</v>
      </c>
    </row>
    <row r="269" spans="1:2">
      <c r="A269" s="95">
        <v>44307</v>
      </c>
      <c r="B269" s="82" t="s">
        <v>16</v>
      </c>
    </row>
    <row r="270" spans="1:2">
      <c r="A270" s="95">
        <v>44308</v>
      </c>
      <c r="B270" s="82" t="s">
        <v>18</v>
      </c>
    </row>
    <row r="271" spans="1:2">
      <c r="A271" s="95">
        <v>44309</v>
      </c>
      <c r="B271" s="82" t="s">
        <v>20</v>
      </c>
    </row>
    <row r="272" spans="1:2">
      <c r="A272" s="95">
        <v>44310</v>
      </c>
      <c r="B272" s="82" t="s">
        <v>22</v>
      </c>
    </row>
    <row r="273" spans="1:3">
      <c r="A273" s="95">
        <v>44311</v>
      </c>
      <c r="B273" s="82" t="s">
        <v>24</v>
      </c>
    </row>
    <row r="274" spans="1:3">
      <c r="A274" s="95">
        <v>44312</v>
      </c>
      <c r="B274" s="82" t="s">
        <v>12</v>
      </c>
    </row>
    <row r="275" spans="1:3">
      <c r="A275" s="95">
        <v>44313</v>
      </c>
      <c r="B275" s="82" t="s">
        <v>14</v>
      </c>
    </row>
    <row r="276" spans="1:3">
      <c r="A276" s="95">
        <v>44314</v>
      </c>
      <c r="B276" s="82" t="s">
        <v>16</v>
      </c>
    </row>
    <row r="277" spans="1:3">
      <c r="A277" s="95">
        <v>44315</v>
      </c>
      <c r="B277" s="82" t="s">
        <v>18</v>
      </c>
    </row>
    <row r="278" spans="1:3">
      <c r="A278" s="95">
        <v>44316</v>
      </c>
      <c r="B278" s="82" t="s">
        <v>20</v>
      </c>
    </row>
    <row r="279" spans="1:3">
      <c r="A279" s="95">
        <v>44317</v>
      </c>
      <c r="B279" s="82" t="s">
        <v>22</v>
      </c>
    </row>
    <row r="280" spans="1:3">
      <c r="A280" s="95">
        <v>44318</v>
      </c>
      <c r="B280" s="82" t="s">
        <v>24</v>
      </c>
    </row>
    <row r="281" spans="1:3">
      <c r="A281" s="95">
        <v>44319</v>
      </c>
      <c r="B281" s="82" t="s">
        <v>12</v>
      </c>
      <c r="C281" s="83" t="s">
        <v>50</v>
      </c>
    </row>
    <row r="282" spans="1:3">
      <c r="A282" s="95">
        <v>44320</v>
      </c>
      <c r="B282" s="82" t="s">
        <v>14</v>
      </c>
    </row>
    <row r="283" spans="1:3">
      <c r="A283" s="95">
        <v>44321</v>
      </c>
      <c r="B283" s="82" t="s">
        <v>16</v>
      </c>
    </row>
    <row r="284" spans="1:3">
      <c r="A284" s="95">
        <v>44322</v>
      </c>
      <c r="B284" s="82" t="s">
        <v>18</v>
      </c>
    </row>
    <row r="1048576" spans="11:11">
      <c r="K1048576" s="80" t="s">
        <v>0</v>
      </c>
    </row>
  </sheetData>
  <protectedRanges>
    <protectedRange sqref="A1 A381:L1048576 A3:B190 D129:E157 C158:H190 J57:K190 D97:E127 A253:B284 L82:L83 L38 L88:L190 K43 L48:L68 G4 L41:L44 J29 F97:H157 I30:I190 L70 J6:K28 D4 J30:K37 K45:K48 J38:J56 A2:M2" name="Normal"/>
  </protectedRanges>
  <mergeCells count="1">
    <mergeCell ref="B1:Q1"/>
  </mergeCells>
  <phoneticPr fontId="1" type="noConversion"/>
  <pageMargins left="0.7" right="0.7" top="0.75" bottom="0.75" header="0.3" footer="0.3"/>
  <pageSetup paperSize="9" orientation="portrait" horizontalDpi="4294967292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autoFill="0" autoPict="0" macro="[0]!버튼todaysheet">
                <anchor moveWithCells="1" sizeWithCells="1">
                  <from>
                    <xdr:col>17</xdr:col>
                    <xdr:colOff>12700</xdr:colOff>
                    <xdr:row>8</xdr:row>
                    <xdr:rowOff>12700</xdr:rowOff>
                  </from>
                  <to>
                    <xdr:col>18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autoFill="0" autoPict="0" macro="[0]!버튼plansheet">
                <anchor moveWithCells="1" sizeWithCells="1">
                  <from>
                    <xdr:col>17</xdr:col>
                    <xdr:colOff>12700</xdr:colOff>
                    <xdr:row>4</xdr:row>
                    <xdr:rowOff>50800</xdr:rowOff>
                  </from>
                  <to>
                    <xdr:col>18</xdr:col>
                    <xdr:colOff>590550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버튼확대">
                <anchor moveWithCells="1" sizeWithCells="1">
                  <from>
                    <xdr:col>17</xdr:col>
                    <xdr:colOff>6350</xdr:colOff>
                    <xdr:row>0</xdr:row>
                    <xdr:rowOff>279400</xdr:rowOff>
                  </from>
                  <to>
                    <xdr:col>18</xdr:col>
                    <xdr:colOff>584200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ECCAF-613D-49C9-B5FF-E7AD22E0DA76}">
  <sheetPr codeName="Sheet4"/>
  <dimension ref="A1:M19"/>
  <sheetViews>
    <sheetView zoomScale="85" zoomScaleNormal="85" workbookViewId="0">
      <selection activeCell="G22" sqref="G22"/>
    </sheetView>
  </sheetViews>
  <sheetFormatPr defaultRowHeight="13"/>
  <cols>
    <col min="2" max="7" width="17.54296875" customWidth="1"/>
  </cols>
  <sheetData>
    <row r="1" spans="1:13" ht="19.5" thickBot="1">
      <c r="A1" s="34"/>
      <c r="B1" s="148" t="s">
        <v>25</v>
      </c>
      <c r="C1" s="148"/>
      <c r="D1" s="148"/>
      <c r="E1" s="148"/>
      <c r="F1" s="148"/>
      <c r="G1" s="148"/>
      <c r="H1" s="32"/>
      <c r="I1" s="32"/>
      <c r="J1" s="32"/>
      <c r="K1" s="32"/>
      <c r="L1" s="32"/>
      <c r="M1" s="32"/>
    </row>
    <row r="2" spans="1:13" ht="19" thickTop="1" thickBot="1">
      <c r="A2" s="33"/>
      <c r="B2" s="155" t="s">
        <v>38</v>
      </c>
      <c r="C2" s="156"/>
      <c r="D2" s="159"/>
      <c r="E2" s="12" t="s">
        <v>9</v>
      </c>
      <c r="F2" s="161" t="s">
        <v>28</v>
      </c>
      <c r="G2" s="162"/>
    </row>
    <row r="3" spans="1:13" ht="24" thickBot="1">
      <c r="B3" s="157">
        <v>44109</v>
      </c>
      <c r="C3" s="158"/>
      <c r="D3" s="160"/>
      <c r="E3" s="43" t="str">
        <f>VLOOKUP($B$3,Yearly!$A:$O,2,FALSE)</f>
        <v>月</v>
      </c>
      <c r="F3" s="163">
        <f>COUNTA(C4:C16)-COUNTIF(C4:C16,".")-COUNTBLANK(C4:C16)</f>
        <v>-2</v>
      </c>
      <c r="G3" s="164"/>
    </row>
    <row r="4" spans="1:13">
      <c r="B4" s="165" t="str">
        <f>Yearly!C2</f>
        <v>「１」</v>
      </c>
      <c r="C4" s="167" t="str">
        <f>TEXT(VLOOKUP($B$3,Yearly!$A:$O,3,FALSE),"G/표준;;")</f>
        <v/>
      </c>
      <c r="D4" s="168"/>
      <c r="E4" s="168"/>
      <c r="F4" s="168"/>
      <c r="G4" s="169"/>
    </row>
    <row r="5" spans="1:13">
      <c r="B5" s="166"/>
      <c r="C5" s="170"/>
      <c r="D5" s="171"/>
      <c r="E5" s="171"/>
      <c r="F5" s="171"/>
      <c r="G5" s="172"/>
    </row>
    <row r="6" spans="1:13">
      <c r="B6" s="166"/>
      <c r="C6" s="170"/>
      <c r="D6" s="171"/>
      <c r="E6" s="171"/>
      <c r="F6" s="171"/>
      <c r="G6" s="172"/>
    </row>
    <row r="7" spans="1:13">
      <c r="B7" s="13" t="str">
        <f>Yearly!D2</f>
        <v>「２」</v>
      </c>
      <c r="C7" s="142" t="str">
        <f>TEXT(VLOOKUP($B$3,Yearly!$A:$O,4,FALSE),"G/표준;;")</f>
        <v/>
      </c>
      <c r="D7" s="143"/>
      <c r="E7" s="143"/>
      <c r="F7" s="143"/>
      <c r="G7" s="144"/>
    </row>
    <row r="8" spans="1:13">
      <c r="B8" s="13" t="str">
        <f>Yearly!E2</f>
        <v>「３」</v>
      </c>
      <c r="C8" s="145" t="str">
        <f>TEXT(VLOOKUP($B$3,Yearly!$A:$O,5,FALSE),"G/표준;;")</f>
        <v/>
      </c>
      <c r="D8" s="146"/>
      <c r="E8" s="146"/>
      <c r="F8" s="146"/>
      <c r="G8" s="147"/>
    </row>
    <row r="9" spans="1:13">
      <c r="B9" s="13" t="str">
        <f>Yearly!F2</f>
        <v>「４」</v>
      </c>
      <c r="C9" s="145" t="str">
        <f>TEXT(VLOOKUP($B$3,Yearly!$A:$O,6,FALSE),"G/표준;;")</f>
        <v/>
      </c>
      <c r="D9" s="146"/>
      <c r="E9" s="146"/>
      <c r="F9" s="146"/>
      <c r="G9" s="147"/>
    </row>
    <row r="10" spans="1:13">
      <c r="B10" s="13" t="str">
        <f>Yearly!G2</f>
        <v>「５」</v>
      </c>
      <c r="C10" s="145" t="str">
        <f>TEXT(VLOOKUP($B$3,Yearly!$A:$O,7,FALSE),"G/표준;;")</f>
        <v/>
      </c>
      <c r="D10" s="146"/>
      <c r="E10" s="146"/>
      <c r="F10" s="146"/>
      <c r="G10" s="147"/>
    </row>
    <row r="11" spans="1:13">
      <c r="B11" s="13" t="str">
        <f>Yearly!H2</f>
        <v>「６」</v>
      </c>
      <c r="C11" s="145" t="str">
        <f>TEXT(VLOOKUP($B$3,Yearly!$A:$O,8,FALSE),"G/표준;;")</f>
        <v/>
      </c>
      <c r="D11" s="146"/>
      <c r="E11" s="146"/>
      <c r="F11" s="146"/>
      <c r="G11" s="147"/>
    </row>
    <row r="12" spans="1:13">
      <c r="B12" s="13" t="str">
        <f>Yearly!I2</f>
        <v>「７」</v>
      </c>
      <c r="C12" s="145" t="str">
        <f>TEXT(VLOOKUP($B$3,Yearly!$A:$O,9,FALSE),"G/표준;;")</f>
        <v/>
      </c>
      <c r="D12" s="146"/>
      <c r="E12" s="146"/>
      <c r="F12" s="146"/>
      <c r="G12" s="147"/>
    </row>
    <row r="13" spans="1:13">
      <c r="B13" s="14" t="str">
        <f>Yearly!J2</f>
        <v>学習</v>
      </c>
      <c r="C13" s="149" t="str">
        <f>TEXT(VLOOKUP($B$3,Yearly!$A:$O,10,FALSE),"G/표준;;")</f>
        <v/>
      </c>
      <c r="D13" s="150"/>
      <c r="E13" s="150"/>
      <c r="F13" s="150"/>
      <c r="G13" s="151"/>
    </row>
    <row r="14" spans="1:13">
      <c r="B14" s="14" t="str">
        <f>Yearly!K2</f>
        <v>学習</v>
      </c>
      <c r="C14" s="149" t="str">
        <f>TEXT(VLOOKUP($B$3,Yearly!$A:$O,11,FALSE),"G/표준;;")</f>
        <v/>
      </c>
      <c r="D14" s="150"/>
      <c r="E14" s="150"/>
      <c r="F14" s="150"/>
      <c r="G14" s="151"/>
    </row>
    <row r="15" spans="1:13">
      <c r="B15" s="14" t="str">
        <f>Yearly!L2</f>
        <v>学習</v>
      </c>
      <c r="C15" s="149" t="str">
        <f>TEXT(VLOOKUP($B$3,Yearly!$A:$O,12,FALSE),"G/표준;;")</f>
        <v/>
      </c>
      <c r="D15" s="150"/>
      <c r="E15" s="150"/>
      <c r="F15" s="150"/>
      <c r="G15" s="151"/>
    </row>
    <row r="16" spans="1:13" ht="17.5" thickBot="1">
      <c r="B16" s="41" t="str">
        <f>Yearly!M2</f>
        <v>学習</v>
      </c>
      <c r="C16" s="152" t="str">
        <f>TEXT(VLOOKUP($B$3,Yearly!$A:$O,13,FALSE),"G/표준;;")</f>
        <v/>
      </c>
      <c r="D16" s="153"/>
      <c r="E16" s="153"/>
      <c r="F16" s="153"/>
      <c r="G16" s="154"/>
    </row>
    <row r="17" spans="2:7" ht="17.5" thickTop="1">
      <c r="B17" s="29" t="str">
        <f>Yearly!N2</f>
        <v>R1</v>
      </c>
      <c r="C17" s="140" t="str">
        <f>TEXT(VLOOKUP($B$3,Yearly!$A:$O,14,FALSE),"G/표준;;")</f>
        <v/>
      </c>
      <c r="D17" s="140"/>
      <c r="E17" s="140"/>
      <c r="F17" s="140"/>
      <c r="G17" s="140"/>
    </row>
    <row r="18" spans="2:7" ht="17.5" thickBot="1">
      <c r="B18" s="11" t="str">
        <f>Yearly!O2</f>
        <v>R2</v>
      </c>
      <c r="C18" s="141" t="str">
        <f>TEXT(VLOOKUP($B$3,Yearly!$A:$O,15,FALSE),"G/표준;;")</f>
        <v/>
      </c>
      <c r="D18" s="141"/>
      <c r="E18" s="141"/>
      <c r="F18" s="141"/>
      <c r="G18" s="141"/>
    </row>
    <row r="19" spans="2:7" ht="13.5" thickTop="1"/>
  </sheetData>
  <protectedRanges>
    <protectedRange sqref="B3 B5" name="★Today"/>
  </protectedRanges>
  <mergeCells count="20">
    <mergeCell ref="B1:G1"/>
    <mergeCell ref="C13:G13"/>
    <mergeCell ref="C14:G14"/>
    <mergeCell ref="C15:G15"/>
    <mergeCell ref="C16:G16"/>
    <mergeCell ref="B2:C2"/>
    <mergeCell ref="B3:C3"/>
    <mergeCell ref="D2:D3"/>
    <mergeCell ref="F2:G2"/>
    <mergeCell ref="F3:G3"/>
    <mergeCell ref="B4:B6"/>
    <mergeCell ref="C4:G6"/>
    <mergeCell ref="C17:G17"/>
    <mergeCell ref="C18:G18"/>
    <mergeCell ref="C7:G7"/>
    <mergeCell ref="C8:G8"/>
    <mergeCell ref="C9:G9"/>
    <mergeCell ref="C10:G10"/>
    <mergeCell ref="C11:G11"/>
    <mergeCell ref="C12:G12"/>
  </mergeCells>
  <phoneticPr fontId="1" type="noConversion"/>
  <pageMargins left="0.7" right="0.7" top="0.75" bottom="0.75" header="0.3" footer="0.3"/>
  <pageSetup paperSize="9" orientation="portrait" horizontalDpi="4294967292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4" name="Button 12">
              <controlPr defaultSize="0" autoFill="0" autoPict="0" macro="[0]!버튼todaysheet">
                <anchor moveWithCells="1" sizeWithCells="1">
                  <from>
                    <xdr:col>3</xdr:col>
                    <xdr:colOff>279400</xdr:colOff>
                    <xdr:row>1</xdr:row>
                    <xdr:rowOff>101600</xdr:rowOff>
                  </from>
                  <to>
                    <xdr:col>3</xdr:col>
                    <xdr:colOff>1054100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5" name="Button 13">
              <controlPr defaultSize="0" autoFill="0" autoPict="0" macro="[0]!Module2.버튼yearlysheet">
                <anchor moveWithCells="1" sizeWithCells="1">
                  <from>
                    <xdr:col>7</xdr:col>
                    <xdr:colOff>95250</xdr:colOff>
                    <xdr:row>3</xdr:row>
                    <xdr:rowOff>57150</xdr:rowOff>
                  </from>
                  <to>
                    <xdr:col>9</xdr:col>
                    <xdr:colOff>355600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39A125-5394-4A58-A219-C09E3F680E89}">
          <x14:formula1>
            <xm:f>Yearly!$A$3:$A$1048576</xm:f>
          </x14:formula1>
          <xm:sqref>B3:C3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DEDA-23D2-438D-A743-959B3ED7F22D}">
  <sheetPr codeName="Sheet3"/>
  <dimension ref="A1:V1130"/>
  <sheetViews>
    <sheetView zoomScale="85" zoomScaleNormal="85" workbookViewId="0">
      <selection activeCell="N9" sqref="N9"/>
    </sheetView>
  </sheetViews>
  <sheetFormatPr defaultColWidth="8.6328125" defaultRowHeight="13"/>
  <cols>
    <col min="1" max="8" width="15.54296875" style="50" customWidth="1"/>
    <col min="9" max="9" width="8.6328125" style="22"/>
    <col min="10" max="10" width="18.453125" style="23" customWidth="1"/>
    <col min="11" max="16384" width="8.6328125" style="22"/>
  </cols>
  <sheetData>
    <row r="1" spans="1:19" ht="17">
      <c r="A1" s="53" t="s">
        <v>30</v>
      </c>
      <c r="B1" s="54" t="s">
        <v>29</v>
      </c>
      <c r="C1" s="55" t="s">
        <v>31</v>
      </c>
      <c r="D1" s="55" t="s">
        <v>32</v>
      </c>
      <c r="E1" s="55" t="s">
        <v>33</v>
      </c>
      <c r="F1" s="55" t="s">
        <v>34</v>
      </c>
      <c r="G1" s="55" t="s">
        <v>35</v>
      </c>
      <c r="H1" s="54" t="s">
        <v>26</v>
      </c>
      <c r="I1" s="21"/>
      <c r="J1" s="22"/>
    </row>
    <row r="2" spans="1:19" ht="14">
      <c r="A2" s="50" t="s">
        <v>37</v>
      </c>
      <c r="B2" s="49"/>
      <c r="D2" s="49"/>
      <c r="E2" s="49"/>
      <c r="G2" s="49" t="s">
        <v>0</v>
      </c>
      <c r="H2" s="50" t="s">
        <v>0</v>
      </c>
      <c r="K2" s="1"/>
    </row>
    <row r="3" spans="1:19" ht="14">
      <c r="A3" s="50" t="s">
        <v>37</v>
      </c>
      <c r="K3" s="1"/>
      <c r="M3" s="1"/>
      <c r="N3" s="1"/>
      <c r="O3" s="1"/>
      <c r="P3" s="24"/>
      <c r="Q3" s="1"/>
      <c r="R3" s="1"/>
      <c r="S3" s="1"/>
    </row>
    <row r="4" spans="1:19" ht="14">
      <c r="A4" s="50" t="s">
        <v>37</v>
      </c>
      <c r="B4" s="28"/>
      <c r="C4" s="49"/>
      <c r="D4" s="49"/>
      <c r="E4" s="49"/>
      <c r="F4" s="49"/>
      <c r="G4" s="49"/>
      <c r="K4" s="1"/>
      <c r="M4" s="1"/>
      <c r="O4" s="1"/>
      <c r="P4" s="1"/>
      <c r="R4" s="1"/>
      <c r="S4" s="1"/>
    </row>
    <row r="5" spans="1:19" ht="14.5" thickBot="1">
      <c r="A5" s="50" t="s">
        <v>37</v>
      </c>
      <c r="K5" s="1"/>
      <c r="M5" s="1"/>
      <c r="N5" s="1"/>
      <c r="O5" s="1"/>
      <c r="R5" s="1"/>
      <c r="S5" s="1"/>
    </row>
    <row r="6" spans="1:19" ht="18.5" thickBot="1">
      <c r="A6" s="50" t="s">
        <v>37</v>
      </c>
      <c r="B6" s="28"/>
      <c r="D6" s="49"/>
      <c r="E6" s="28"/>
      <c r="J6" s="42" t="s">
        <v>39</v>
      </c>
      <c r="K6" s="1"/>
      <c r="N6" s="1"/>
      <c r="O6" s="1"/>
      <c r="P6" s="1"/>
      <c r="R6" s="1"/>
      <c r="S6" s="1"/>
    </row>
    <row r="7" spans="1:19" ht="14">
      <c r="A7" s="50" t="s">
        <v>37</v>
      </c>
      <c r="B7" s="28"/>
      <c r="C7" s="49"/>
      <c r="D7" s="49"/>
      <c r="E7" s="49"/>
      <c r="F7" s="49"/>
      <c r="G7" s="49"/>
      <c r="J7" s="56">
        <f>COUNTA($C$2:$G$100)-COUNTIF($C$2:$G$100,".")</f>
        <v>0</v>
      </c>
      <c r="N7" s="1"/>
      <c r="O7" s="1"/>
      <c r="P7" s="1"/>
      <c r="R7" s="1"/>
      <c r="S7" s="1"/>
    </row>
    <row r="8" spans="1:19" ht="14.5" thickBot="1">
      <c r="A8" s="50" t="s">
        <v>37</v>
      </c>
      <c r="B8" s="28"/>
      <c r="C8" s="49"/>
      <c r="D8" s="49"/>
      <c r="E8" s="49"/>
      <c r="J8" s="57"/>
      <c r="K8" s="1"/>
      <c r="M8" s="1"/>
      <c r="O8" s="1"/>
      <c r="P8" s="1"/>
      <c r="R8" s="1"/>
    </row>
    <row r="9" spans="1:19" ht="18.5" thickBot="1">
      <c r="A9" s="50" t="s">
        <v>37</v>
      </c>
      <c r="C9" s="90"/>
      <c r="E9" s="90"/>
      <c r="J9" s="30" t="s">
        <v>36</v>
      </c>
      <c r="K9" s="1"/>
      <c r="M9" s="1"/>
      <c r="O9" s="1"/>
      <c r="P9" s="1"/>
      <c r="Q9" s="1"/>
      <c r="R9" s="1"/>
      <c r="S9" s="1"/>
    </row>
    <row r="10" spans="1:19" ht="14">
      <c r="A10" s="50" t="s">
        <v>37</v>
      </c>
      <c r="B10" s="28"/>
      <c r="C10" s="49"/>
      <c r="D10" s="49"/>
      <c r="J10" s="31" t="str">
        <f>IFERROR(TEXT(LOOKUP(2,1/(COUNTIF($J$1:J9,$A$2:$A$65)=0),$A$2:$A$65), "G/표준;;"),"")</f>
        <v>기타</v>
      </c>
      <c r="K10" s="1"/>
      <c r="M10" s="1"/>
      <c r="O10" s="1"/>
      <c r="P10" s="1"/>
      <c r="Q10" s="1"/>
      <c r="R10" s="1"/>
      <c r="S10" s="1"/>
    </row>
    <row r="11" spans="1:19" ht="14">
      <c r="A11" s="50" t="s">
        <v>37</v>
      </c>
      <c r="B11" s="28"/>
      <c r="C11" s="49"/>
      <c r="D11" s="49"/>
      <c r="E11" s="49"/>
      <c r="J11" s="31" t="str">
        <f>IFERROR(TEXT(LOOKUP(2,1/(COUNTIF($J$1:J10,$A$2:$A$65)=0),$A$2:$A$65), "G/표준;;"),"")</f>
        <v/>
      </c>
      <c r="K11" s="1"/>
      <c r="L11" s="1"/>
      <c r="M11" s="1"/>
      <c r="N11" s="1"/>
      <c r="O11" s="1"/>
      <c r="P11" s="1"/>
      <c r="Q11" s="1"/>
      <c r="R11" s="1"/>
      <c r="S11" s="1"/>
    </row>
    <row r="12" spans="1:19" ht="14">
      <c r="A12" s="50" t="s">
        <v>37</v>
      </c>
      <c r="B12" s="28"/>
      <c r="C12" s="49"/>
      <c r="D12" s="49"/>
      <c r="E12" s="49"/>
      <c r="F12" s="49"/>
      <c r="G12" s="49"/>
      <c r="J12" s="31" t="str">
        <f>IFERROR(TEXT(LOOKUP(2,1/(COUNTIF($J$1:J11,$A$2:$A$65)=0),$A$2:$A$65), "G/표준;;"),"")</f>
        <v/>
      </c>
      <c r="K12" s="1"/>
      <c r="L12" s="1"/>
      <c r="M12" s="1"/>
      <c r="N12" s="1"/>
      <c r="O12" s="1"/>
      <c r="S12" s="1"/>
    </row>
    <row r="13" spans="1:19" ht="14">
      <c r="A13" s="50" t="s">
        <v>37</v>
      </c>
      <c r="B13" s="51"/>
      <c r="C13" s="52"/>
      <c r="G13" s="49"/>
      <c r="J13" s="31" t="str">
        <f>IFERROR(TEXT(LOOKUP(2,1/(COUNTIF($J$1:J12,$A$2:$A$65)=0),$A$2:$A$65), "G/표준;;"),"")</f>
        <v/>
      </c>
      <c r="K13" s="1"/>
      <c r="L13" s="1"/>
      <c r="M13" s="1"/>
      <c r="N13" s="1"/>
      <c r="O13" s="1"/>
      <c r="S13" s="1"/>
    </row>
    <row r="14" spans="1:19" ht="14">
      <c r="A14" s="50" t="s">
        <v>37</v>
      </c>
      <c r="C14" s="49"/>
      <c r="D14" s="48"/>
      <c r="E14" s="49"/>
      <c r="J14" s="31" t="str">
        <f>IFERROR(TEXT(LOOKUP(2,1/(COUNTIF($J$1:J13,$A$2:$A$65)=0),$A$2:$A$65), "G/표준;;"),"")</f>
        <v/>
      </c>
      <c r="K14" s="1"/>
      <c r="L14" s="1"/>
      <c r="M14" s="1"/>
      <c r="N14" s="1"/>
      <c r="O14" s="1"/>
      <c r="S14" s="1"/>
    </row>
    <row r="15" spans="1:19" ht="14">
      <c r="A15" s="50" t="s">
        <v>37</v>
      </c>
      <c r="J15" s="31" t="str">
        <f>IFERROR(TEXT(LOOKUP(2,1/(COUNTIF($J$1:J14,$A$2:$A$65)=0),$A$2:$A$65), "G/표준;;"),"")</f>
        <v/>
      </c>
      <c r="M15" s="1"/>
      <c r="N15" s="25"/>
      <c r="O15" s="1"/>
      <c r="P15" s="1"/>
    </row>
    <row r="16" spans="1:19" ht="14">
      <c r="A16" s="50" t="s">
        <v>37</v>
      </c>
      <c r="B16" s="51"/>
      <c r="C16" s="51"/>
      <c r="D16" s="51"/>
      <c r="E16" s="51"/>
      <c r="F16" s="49"/>
      <c r="G16" s="49"/>
      <c r="H16" s="50" t="s">
        <v>0</v>
      </c>
      <c r="J16" s="31" t="str">
        <f>IFERROR(TEXT(LOOKUP(2,1/(COUNTIF($J$1:J15,$A$2:$A$65)=0),$A$2:$A$65), "G/표준;;"),"")</f>
        <v/>
      </c>
      <c r="O16" s="1"/>
    </row>
    <row r="17" spans="1:22" ht="14">
      <c r="A17" s="50" t="s">
        <v>37</v>
      </c>
      <c r="B17" s="49"/>
      <c r="C17" s="49"/>
      <c r="D17" s="49"/>
      <c r="E17" s="49"/>
      <c r="F17" s="49"/>
      <c r="G17" s="49"/>
      <c r="H17" s="50" t="s">
        <v>0</v>
      </c>
      <c r="J17" s="31" t="str">
        <f>IFERROR(TEXT(LOOKUP(2,1/(COUNTIF($J$1:J16,$A$2:$A$65)=0),$A$2:$A$65), "G/표준;;"),"")</f>
        <v/>
      </c>
      <c r="K17" s="1"/>
    </row>
    <row r="18" spans="1:22" ht="14">
      <c r="A18" s="50" t="s">
        <v>37</v>
      </c>
      <c r="B18" s="51"/>
      <c r="C18" s="51"/>
      <c r="D18" s="49"/>
      <c r="E18" s="49"/>
      <c r="F18" s="49"/>
      <c r="G18" s="49"/>
      <c r="H18" s="50" t="s">
        <v>0</v>
      </c>
      <c r="J18" s="31" t="str">
        <f>IFERROR(TEXT(LOOKUP(2,1/(COUNTIF($J$1:J17,$A$2:$A$65)=0),$A$2:$A$65), "G/표준;;"),"")</f>
        <v/>
      </c>
    </row>
    <row r="19" spans="1:22" ht="14">
      <c r="A19" s="50" t="s">
        <v>37</v>
      </c>
      <c r="E19" s="49"/>
      <c r="H19" s="50" t="s">
        <v>0</v>
      </c>
      <c r="J19" s="31" t="str">
        <f>IFERROR(TEXT(LOOKUP(2,1/(COUNTIF($J$1:J18,$A$2:$A$65)=0),$A$2:$A$65), "G/표준;;"),"")</f>
        <v/>
      </c>
    </row>
    <row r="20" spans="1:22" ht="14">
      <c r="A20" s="50" t="s">
        <v>37</v>
      </c>
      <c r="B20" s="49"/>
      <c r="C20" s="49"/>
      <c r="E20" s="49"/>
      <c r="F20" s="106"/>
      <c r="G20" s="49"/>
      <c r="J20" s="31" t="str">
        <f>IFERROR(TEXT(LOOKUP(2,1/(COUNTIF($J$1:J19,$A$2:$A$65)=0),$A$2:$A$65), "G/표준;;"),"")</f>
        <v/>
      </c>
    </row>
    <row r="21" spans="1:22" ht="14">
      <c r="A21" s="50" t="s">
        <v>37</v>
      </c>
      <c r="B21" s="49"/>
      <c r="C21" s="49"/>
      <c r="D21" s="49"/>
      <c r="E21" s="49"/>
      <c r="F21" s="49"/>
      <c r="G21" s="49"/>
      <c r="H21" s="50" t="s">
        <v>0</v>
      </c>
      <c r="J21" s="31" t="str">
        <f>IFERROR(TEXT(LOOKUP(2,1/(COUNTIF($J$1:J20,$A$2:$A$65)=0),$A$2:$A$65), "G/표준;;"),"")</f>
        <v/>
      </c>
      <c r="K21" s="1"/>
      <c r="M21" s="1"/>
      <c r="N21" s="1"/>
      <c r="O21" s="1"/>
      <c r="P21" s="1"/>
    </row>
    <row r="22" spans="1:22" ht="14">
      <c r="A22" s="50" t="s">
        <v>37</v>
      </c>
      <c r="C22" s="49"/>
      <c r="D22" s="49"/>
      <c r="H22" s="50" t="s">
        <v>0</v>
      </c>
      <c r="J22" s="31" t="str">
        <f>IFERROR(TEXT(LOOKUP(2,1/(COUNTIF($J$1:J21,$A$2:$A$65)=0),$A$2:$A$65), "G/표준;;"),"")</f>
        <v/>
      </c>
      <c r="K22" s="1"/>
      <c r="M22" s="1"/>
      <c r="N22" s="1"/>
      <c r="O22" s="1"/>
      <c r="P22" s="1"/>
      <c r="V22" s="1"/>
    </row>
    <row r="23" spans="1:22" ht="14">
      <c r="A23" s="50" t="s">
        <v>37</v>
      </c>
      <c r="D23" s="50" t="s">
        <v>0</v>
      </c>
      <c r="H23" s="50" t="s">
        <v>0</v>
      </c>
      <c r="J23" s="31" t="str">
        <f>IFERROR(TEXT(LOOKUP(2,1/(COUNTIF($J$1:J22,$A$2:$A$65)=0),$A$2:$A$65), "G/표준;;"),"")</f>
        <v/>
      </c>
      <c r="K23" s="1"/>
      <c r="M23" s="1"/>
      <c r="N23" s="1"/>
      <c r="O23" s="1"/>
      <c r="P23" s="1"/>
      <c r="V23" s="1"/>
    </row>
    <row r="24" spans="1:22" ht="14">
      <c r="A24" s="50" t="s">
        <v>37</v>
      </c>
      <c r="C24" s="49"/>
      <c r="D24" s="49"/>
      <c r="G24" s="49"/>
      <c r="H24" s="50" t="s">
        <v>0</v>
      </c>
      <c r="J24" s="31" t="str">
        <f>IFERROR(TEXT(LOOKUP(2,1/(COUNTIF($J$1:J23,$A$2:$A$65)=0),$A$2:$A$65), "G/표준;;"),"")</f>
        <v/>
      </c>
      <c r="K24" s="1"/>
      <c r="M24" s="1"/>
      <c r="N24" s="1"/>
      <c r="O24" s="1"/>
      <c r="P24" s="1"/>
      <c r="V24" s="1"/>
    </row>
    <row r="25" spans="1:22" ht="14">
      <c r="A25" s="50" t="s">
        <v>37</v>
      </c>
      <c r="B25" s="49"/>
      <c r="D25" s="49" t="s">
        <v>0</v>
      </c>
      <c r="E25" s="49"/>
      <c r="F25" s="49"/>
      <c r="G25" s="49"/>
      <c r="H25" s="50" t="s">
        <v>0</v>
      </c>
      <c r="J25" s="31" t="str">
        <f>IFERROR(TEXT(LOOKUP(2,1/(COUNTIF($J$1:J24,$A$2:$A$65)=0),$A$2:$A$65), "G/표준;;"),"")</f>
        <v/>
      </c>
      <c r="K25" s="1"/>
      <c r="M25" s="1"/>
      <c r="N25" s="1"/>
      <c r="O25" s="1"/>
      <c r="P25" s="1"/>
      <c r="V25" s="1"/>
    </row>
    <row r="26" spans="1:22" ht="14">
      <c r="A26" s="50" t="s">
        <v>37</v>
      </c>
      <c r="D26" s="50" t="s">
        <v>0</v>
      </c>
      <c r="H26" s="50" t="s">
        <v>0</v>
      </c>
      <c r="J26" s="31" t="str">
        <f>IFERROR(TEXT(LOOKUP(2,1/(COUNTIF($J$1:J25,$A$2:$A$65)=0),$A$2:$A$65), "G/표준;;"),"")</f>
        <v/>
      </c>
      <c r="K26" s="1"/>
      <c r="L26" s="1"/>
      <c r="M26" s="1"/>
      <c r="Q26" s="1"/>
      <c r="R26" s="1"/>
      <c r="V26" s="1"/>
    </row>
    <row r="27" spans="1:22" ht="14">
      <c r="A27" s="50" t="s">
        <v>37</v>
      </c>
      <c r="B27" s="51"/>
      <c r="C27" s="90"/>
      <c r="G27" s="50" t="s">
        <v>0</v>
      </c>
      <c r="H27" s="50" t="s">
        <v>0</v>
      </c>
      <c r="J27" s="31" t="str">
        <f>IFERROR(TEXT(LOOKUP(2,1/(COUNTIF($J$1:J26,$A$2:$A$65)=0),$A$2:$A$65), "G/표준;;"),"")</f>
        <v/>
      </c>
      <c r="P27" s="1"/>
    </row>
    <row r="28" spans="1:22" ht="14">
      <c r="A28" s="50" t="s">
        <v>37</v>
      </c>
      <c r="B28" s="51"/>
      <c r="E28" s="50" t="s">
        <v>0</v>
      </c>
      <c r="H28" s="50" t="s">
        <v>0</v>
      </c>
      <c r="J28" s="31" t="str">
        <f>IFERROR(TEXT(LOOKUP(2,1/(COUNTIF($J$1:J27,$A$2:$A$65)=0),$A$2:$A$65), "G/표준;;"),"")</f>
        <v/>
      </c>
      <c r="K28" s="1"/>
      <c r="M28" s="1"/>
      <c r="N28" s="1"/>
      <c r="O28" s="1"/>
      <c r="P28" s="1"/>
      <c r="V28" s="1"/>
    </row>
    <row r="29" spans="1:22" ht="14">
      <c r="A29" s="50" t="s">
        <v>37</v>
      </c>
      <c r="B29" s="7"/>
      <c r="H29" s="50" t="s">
        <v>0</v>
      </c>
      <c r="J29" s="31" t="str">
        <f>IFERROR(TEXT(LOOKUP(2,1/(COUNTIF($J$1:J28,$A$2:$A$65)=0),$A$2:$A$65), "G/표준;;"),"")</f>
        <v/>
      </c>
      <c r="K29" s="1"/>
      <c r="M29" s="1"/>
      <c r="N29" s="1"/>
      <c r="O29" s="1"/>
      <c r="P29" s="1"/>
      <c r="V29" s="1"/>
    </row>
    <row r="30" spans="1:22" ht="14">
      <c r="A30" s="50" t="s">
        <v>37</v>
      </c>
      <c r="B30" s="51"/>
      <c r="H30" s="50" t="s">
        <v>0</v>
      </c>
      <c r="J30" s="31" t="str">
        <f>IFERROR(TEXT(LOOKUP(2,1/(COUNTIF($J$1:J29,$A$2:$A$65)=0),$A$2:$A$65), "G/표준;;"),"")</f>
        <v/>
      </c>
      <c r="K30" s="1"/>
      <c r="M30" s="1"/>
      <c r="N30" s="1"/>
      <c r="P30" s="1" t="s">
        <v>0</v>
      </c>
      <c r="V30" s="1"/>
    </row>
    <row r="31" spans="1:22" ht="17">
      <c r="A31" s="50" t="s">
        <v>37</v>
      </c>
      <c r="B31" s="90"/>
      <c r="C31" s="89"/>
      <c r="H31" s="50" t="s">
        <v>0</v>
      </c>
      <c r="J31" s="31" t="str">
        <f>IFERROR(TEXT(LOOKUP(2,1/(COUNTIF($J$1:J30,$A$2:$A$65)=0),$A$2:$A$65), "G/표준;;"),"")</f>
        <v/>
      </c>
      <c r="L31" s="1"/>
      <c r="M31" s="1"/>
      <c r="N31" s="1"/>
      <c r="O31" s="1"/>
      <c r="P31" s="1"/>
      <c r="V31" s="1"/>
    </row>
    <row r="32" spans="1:22" ht="14">
      <c r="A32" s="50" t="s">
        <v>37</v>
      </c>
      <c r="B32" s="51"/>
      <c r="H32" s="50" t="s">
        <v>0</v>
      </c>
      <c r="J32" s="31" t="str">
        <f>IFERROR(TEXT(LOOKUP(2,1/(COUNTIF($J$1:J31,$A$2:$A$65)=0),$A$2:$A$65), "G/표준;;"),"")</f>
        <v/>
      </c>
      <c r="K32" s="1"/>
      <c r="L32" s="1"/>
      <c r="M32" s="1"/>
      <c r="N32" s="1"/>
      <c r="O32" s="1"/>
      <c r="P32" s="1"/>
      <c r="V32" s="1"/>
    </row>
    <row r="33" spans="1:22" ht="17.5">
      <c r="A33" s="50" t="s">
        <v>37</v>
      </c>
      <c r="B33" s="51"/>
      <c r="H33" s="50" t="s">
        <v>0</v>
      </c>
      <c r="J33" s="31" t="str">
        <f>IFERROR(TEXT(LOOKUP(2,1/(COUNTIF($J$1:J32,$A$2:$A$65)=0),$A$2:$A$65), "G/표준;;"),"")</f>
        <v/>
      </c>
      <c r="K33" s="26"/>
      <c r="L33" s="1"/>
      <c r="M33" s="1" t="s">
        <v>0</v>
      </c>
      <c r="N33" s="27"/>
      <c r="O33" s="1"/>
      <c r="P33" s="1"/>
      <c r="V33" s="1"/>
    </row>
    <row r="34" spans="1:22" ht="14">
      <c r="A34" s="50" t="s">
        <v>37</v>
      </c>
      <c r="B34" s="51"/>
      <c r="H34" s="50" t="s">
        <v>0</v>
      </c>
      <c r="I34" s="1"/>
      <c r="J34" s="31" t="str">
        <f>IFERROR(TEXT(LOOKUP(2,1/(COUNTIF($J$1:J33,$A$2:$A$65)=0),$A$2:$A$65), "G/표준;;"),"")</f>
        <v/>
      </c>
      <c r="V34" s="1"/>
    </row>
    <row r="35" spans="1:22" ht="14">
      <c r="A35" s="50" t="s">
        <v>37</v>
      </c>
      <c r="B35" s="51"/>
      <c r="H35" s="50" t="s">
        <v>0</v>
      </c>
      <c r="I35" s="1"/>
      <c r="J35" s="31" t="str">
        <f>IFERROR(TEXT(LOOKUP(2,1/(COUNTIF($J$1:J34,$A$2:$A$65)=0),$A$2:$A$65), "G/표준;;"),"")</f>
        <v/>
      </c>
      <c r="Q35" s="1"/>
    </row>
    <row r="36" spans="1:22" ht="14">
      <c r="A36" s="50" t="s">
        <v>37</v>
      </c>
      <c r="B36" s="51"/>
      <c r="H36" s="50" t="s">
        <v>0</v>
      </c>
      <c r="I36" s="1"/>
      <c r="J36" s="31" t="str">
        <f>IFERROR(TEXT(LOOKUP(2,1/(COUNTIF($J$1:J35,$A$2:$A$65)=0),$A$2:$A$65), "G/표준;;"),"")</f>
        <v/>
      </c>
      <c r="K36" s="1"/>
      <c r="L36" s="1"/>
      <c r="M36" s="1"/>
    </row>
    <row r="37" spans="1:22" ht="14">
      <c r="A37" s="50" t="s">
        <v>37</v>
      </c>
      <c r="B37" s="51"/>
      <c r="H37" s="50" t="s">
        <v>0</v>
      </c>
      <c r="I37" s="1"/>
      <c r="J37" s="31" t="str">
        <f>IFERROR(TEXT(LOOKUP(2,1/(COUNTIF($J$1:J36,$A$2:$A$65)=0),$A$2:$A$65), "G/표준;;"),"")</f>
        <v/>
      </c>
      <c r="K37" s="1"/>
      <c r="L37" s="1"/>
      <c r="M37" s="1"/>
    </row>
    <row r="38" spans="1:22" ht="14">
      <c r="A38" s="50" t="s">
        <v>37</v>
      </c>
      <c r="B38" s="51"/>
      <c r="H38" s="50" t="s">
        <v>0</v>
      </c>
      <c r="I38" s="1"/>
      <c r="J38" s="31" t="str">
        <f>IFERROR(TEXT(LOOKUP(2,1/(COUNTIF($J$1:J37,$A$2:$A$65)=0),$A$2:$A$65), "G/표준;;"),"")</f>
        <v/>
      </c>
      <c r="K38" s="1"/>
      <c r="L38" s="1"/>
      <c r="M38" s="24"/>
      <c r="O38" s="1"/>
      <c r="P38" s="1"/>
      <c r="V38" s="1"/>
    </row>
    <row r="39" spans="1:22" ht="14">
      <c r="A39" s="50" t="s">
        <v>37</v>
      </c>
      <c r="B39" s="51"/>
      <c r="H39" s="50" t="s">
        <v>0</v>
      </c>
      <c r="I39" s="1"/>
      <c r="J39" s="31" t="str">
        <f>IFERROR(TEXT(LOOKUP(2,1/(COUNTIF($J$1:J38,$A$2:$A$65)=0),$A$2:$A$65), "G/표준;;"),"")</f>
        <v/>
      </c>
      <c r="K39" s="1"/>
      <c r="L39" s="1"/>
      <c r="M39" s="1"/>
      <c r="P39" s="1"/>
      <c r="V39" s="1"/>
    </row>
    <row r="40" spans="1:22" ht="14">
      <c r="A40" s="50" t="s">
        <v>37</v>
      </c>
      <c r="B40" s="51"/>
      <c r="H40" s="50" t="s">
        <v>0</v>
      </c>
      <c r="I40" s="1"/>
      <c r="J40" s="31" t="str">
        <f>IFERROR(TEXT(LOOKUP(2,1/(COUNTIF($J$1:J39,$A$2:$A$65)=0),$A$2:$A$65), "G/표준;;"),"")</f>
        <v/>
      </c>
      <c r="K40" s="1"/>
      <c r="L40" s="1"/>
      <c r="M40" s="1"/>
      <c r="P40" s="1"/>
      <c r="V40" s="1"/>
    </row>
    <row r="41" spans="1:22" ht="14">
      <c r="A41" s="50" t="s">
        <v>37</v>
      </c>
      <c r="B41" s="51"/>
      <c r="H41" s="50" t="s">
        <v>0</v>
      </c>
      <c r="I41" s="1"/>
      <c r="J41" s="31" t="str">
        <f>IFERROR(TEXT(LOOKUP(2,1/(COUNTIF($J$1:J40,$A$2:$A$65)=0),$A$2:$A$65), "G/표준;;"),"")</f>
        <v/>
      </c>
      <c r="K41" s="1"/>
      <c r="L41" s="1"/>
      <c r="M41" s="1"/>
      <c r="V41" s="1"/>
    </row>
    <row r="42" spans="1:22" ht="14">
      <c r="A42" s="50" t="s">
        <v>37</v>
      </c>
      <c r="B42" s="51"/>
      <c r="H42" s="50" t="s">
        <v>0</v>
      </c>
      <c r="I42" s="1"/>
      <c r="J42" s="31" t="str">
        <f>IFERROR(TEXT(LOOKUP(2,1/(COUNTIF($J$1:J41,$A$2:$A$65)=0),$A$2:$A$65), "G/표준;;"),"")</f>
        <v/>
      </c>
      <c r="K42" s="1"/>
      <c r="L42" s="1"/>
      <c r="P42" s="1"/>
      <c r="V42" s="1"/>
    </row>
    <row r="43" spans="1:22" ht="14">
      <c r="A43" s="50" t="s">
        <v>37</v>
      </c>
      <c r="B43" s="51"/>
      <c r="H43" s="50" t="s">
        <v>0</v>
      </c>
      <c r="I43" s="1"/>
      <c r="J43" s="31" t="str">
        <f>IFERROR(TEXT(LOOKUP(2,1/(COUNTIF($J$1:J42,$A$2:$A$65)=0),$A$2:$A$65), "G/표준;;"),"")</f>
        <v/>
      </c>
      <c r="K43" s="1"/>
      <c r="L43" s="1"/>
      <c r="P43" s="1"/>
      <c r="V43" s="1"/>
    </row>
    <row r="44" spans="1:22" ht="14">
      <c r="A44" s="50" t="s">
        <v>37</v>
      </c>
      <c r="B44" s="51"/>
      <c r="H44" s="50" t="s">
        <v>0</v>
      </c>
      <c r="I44" s="1"/>
      <c r="J44" s="31" t="str">
        <f>IFERROR(TEXT(LOOKUP(2,1/(COUNTIF($J$1:J43,$A$2:$A$65)=0),$A$2:$A$65), "G/표준;;"),"")</f>
        <v/>
      </c>
      <c r="K44" s="1"/>
      <c r="L44" s="1"/>
      <c r="P44" s="1"/>
      <c r="V44" s="1"/>
    </row>
    <row r="45" spans="1:22" ht="14">
      <c r="A45" s="50" t="s">
        <v>37</v>
      </c>
      <c r="B45" s="51"/>
      <c r="H45" s="50" t="s">
        <v>0</v>
      </c>
      <c r="I45" s="1"/>
      <c r="J45" s="31" t="str">
        <f>IFERROR(TEXT(LOOKUP(2,1/(COUNTIF($J$1:J44,$A$2:$A$65)=0),$A$2:$A$65), "G/표준;;"),"")</f>
        <v/>
      </c>
      <c r="K45" s="1"/>
      <c r="L45" s="1"/>
      <c r="P45" s="1"/>
      <c r="V45" s="1"/>
    </row>
    <row r="46" spans="1:22" ht="14">
      <c r="A46" s="50" t="s">
        <v>37</v>
      </c>
      <c r="B46" s="51"/>
      <c r="H46" s="50" t="s">
        <v>0</v>
      </c>
      <c r="I46" s="1"/>
      <c r="J46" s="31" t="str">
        <f>IFERROR(TEXT(LOOKUP(2,1/(COUNTIF($J$1:J45,$A$2:$A$65)=0),$A$2:$A$65), "G/표준;;"),"")</f>
        <v/>
      </c>
      <c r="K46" s="1"/>
      <c r="L46" s="1"/>
      <c r="P46" s="1"/>
      <c r="V46" s="1"/>
    </row>
    <row r="47" spans="1:22" ht="14">
      <c r="A47" s="50" t="s">
        <v>37</v>
      </c>
      <c r="B47" s="51"/>
      <c r="H47" s="50" t="s">
        <v>0</v>
      </c>
      <c r="I47" s="1"/>
      <c r="J47" s="31" t="str">
        <f>IFERROR(TEXT(LOOKUP(2,1/(COUNTIF($J$1:J46,$A$2:$A$65)=0),$A$2:$A$65), "G/표준;;"),"")</f>
        <v/>
      </c>
      <c r="K47" s="1"/>
      <c r="L47" s="1"/>
      <c r="P47" s="1"/>
      <c r="V47" s="1"/>
    </row>
    <row r="48" spans="1:22" ht="14">
      <c r="A48" s="50" t="s">
        <v>37</v>
      </c>
      <c r="B48" s="51"/>
      <c r="H48" s="50" t="s">
        <v>0</v>
      </c>
      <c r="I48" s="1"/>
      <c r="J48" s="31" t="str">
        <f>IFERROR(TEXT(LOOKUP(2,1/(COUNTIF($J$1:J47,$A$2:$A$65)=0),$A$2:$A$65), "G/표준;;"),"")</f>
        <v/>
      </c>
      <c r="K48" s="1"/>
      <c r="L48" s="1"/>
      <c r="P48" s="1"/>
      <c r="V48" s="1"/>
    </row>
    <row r="49" spans="1:22" ht="14">
      <c r="A49" s="50" t="s">
        <v>37</v>
      </c>
      <c r="B49" s="51"/>
      <c r="H49" s="50" t="s">
        <v>0</v>
      </c>
      <c r="I49" s="1"/>
      <c r="J49" s="31" t="str">
        <f>IFERROR(TEXT(LOOKUP(2,1/(COUNTIF($J$1:J48,$A$2:$A$65)=0),$A$2:$A$65), "G/표준;;"),"")</f>
        <v/>
      </c>
      <c r="K49" s="1"/>
      <c r="L49" s="1"/>
      <c r="P49" s="1"/>
      <c r="V49" s="1"/>
    </row>
    <row r="50" spans="1:22" ht="14">
      <c r="A50" s="50" t="s">
        <v>37</v>
      </c>
      <c r="B50" s="51"/>
      <c r="H50" s="50" t="s">
        <v>0</v>
      </c>
      <c r="I50" s="1"/>
      <c r="J50" s="31" t="str">
        <f>IFERROR(TEXT(LOOKUP(2,1/(COUNTIF($J$1:J49,$A$2:$A$65)=0),$A$2:$A$65), "G/표준;;"),"")</f>
        <v/>
      </c>
      <c r="K50" s="1"/>
      <c r="L50" s="1"/>
      <c r="P50" s="1"/>
    </row>
    <row r="51" spans="1:22" ht="14">
      <c r="A51" s="50" t="s">
        <v>37</v>
      </c>
      <c r="B51" s="51"/>
      <c r="H51" s="50" t="s">
        <v>0</v>
      </c>
      <c r="I51" s="1"/>
      <c r="J51" s="31" t="str">
        <f>IFERROR(TEXT(LOOKUP(2,1/(COUNTIF($J$1:J50,$A$2:$A$65)=0),$A$2:$A$65), "G/표준;;"),"")</f>
        <v/>
      </c>
      <c r="K51" s="1"/>
      <c r="L51" s="1" t="s">
        <v>0</v>
      </c>
      <c r="P51" s="1"/>
    </row>
    <row r="52" spans="1:22" ht="14">
      <c r="A52" s="50" t="s">
        <v>37</v>
      </c>
      <c r="B52" s="51"/>
      <c r="H52" s="50" t="s">
        <v>0</v>
      </c>
      <c r="I52" s="1"/>
      <c r="J52" s="31" t="str">
        <f>IFERROR(TEXT(LOOKUP(2,1/(COUNTIF($J$1:J51,$A$2:$A$65)=0),$A$2:$A$65), "G/표준;;"),"")</f>
        <v/>
      </c>
      <c r="K52" s="1"/>
      <c r="L52" s="1" t="s">
        <v>0</v>
      </c>
      <c r="P52" s="1"/>
      <c r="V52" s="24"/>
    </row>
    <row r="53" spans="1:22" ht="14">
      <c r="A53" s="50" t="s">
        <v>37</v>
      </c>
      <c r="B53" s="51"/>
      <c r="H53" s="50" t="s">
        <v>0</v>
      </c>
      <c r="I53" s="1"/>
      <c r="J53" s="31" t="str">
        <f>IFERROR(TEXT(LOOKUP(2,1/(COUNTIF($J$1:J52,$A$2:$A$65)=0),$A$2:$A$65), "G/표준;;"),"")</f>
        <v/>
      </c>
      <c r="K53" s="1"/>
      <c r="L53" s="1" t="s">
        <v>0</v>
      </c>
      <c r="P53" s="1"/>
    </row>
    <row r="54" spans="1:22" ht="14">
      <c r="A54" s="50" t="s">
        <v>37</v>
      </c>
      <c r="B54" s="51"/>
      <c r="H54" s="50" t="s">
        <v>0</v>
      </c>
      <c r="I54" s="1"/>
      <c r="J54" s="31" t="str">
        <f>IFERROR(TEXT(LOOKUP(2,1/(COUNTIF($J$1:J53,$A$2:$A$65)=0),$A$2:$A$65), "G/표준;;"),"")</f>
        <v/>
      </c>
      <c r="P54" s="1"/>
    </row>
    <row r="55" spans="1:22" ht="14">
      <c r="A55" s="50" t="s">
        <v>37</v>
      </c>
      <c r="B55" s="51"/>
      <c r="H55" s="50" t="s">
        <v>0</v>
      </c>
      <c r="J55" s="31" t="str">
        <f>IFERROR(TEXT(LOOKUP(2,1/(COUNTIF($J$1:J54,$A$2:$A$65)=0),$A$2:$A$65), "G/표준;;"),"")</f>
        <v/>
      </c>
      <c r="P55" s="1"/>
    </row>
    <row r="56" spans="1:22">
      <c r="A56" s="50" t="s">
        <v>37</v>
      </c>
      <c r="B56" s="51"/>
      <c r="H56" s="50" t="s">
        <v>0</v>
      </c>
      <c r="J56" s="31" t="str">
        <f>IFERROR(TEXT(LOOKUP(2,1/(COUNTIF($J$1:J55,$A$2:$A$65)=0),$A$2:$A$65), "G/표준;;"),"")</f>
        <v/>
      </c>
    </row>
    <row r="57" spans="1:22">
      <c r="A57" s="50" t="s">
        <v>37</v>
      </c>
      <c r="B57" s="51"/>
      <c r="H57" s="50" t="s">
        <v>0</v>
      </c>
      <c r="J57" s="31" t="str">
        <f>IFERROR(TEXT(LOOKUP(2,1/(COUNTIF($J$1:J56,$A$2:$A$65)=0),$A$2:$A$65), "G/표준;;"),"")</f>
        <v/>
      </c>
    </row>
    <row r="58" spans="1:22" ht="14">
      <c r="A58" s="50" t="s">
        <v>37</v>
      </c>
      <c r="B58" s="51"/>
      <c r="H58" s="50" t="s">
        <v>0</v>
      </c>
      <c r="I58" s="1"/>
      <c r="J58" s="31" t="str">
        <f>IFERROR(TEXT(LOOKUP(2,1/(COUNTIF($J$1:J57,$A$2:$A$65)=0),$A$2:$A$65), "G/표준;;"),"")</f>
        <v/>
      </c>
      <c r="K58" s="1"/>
      <c r="L58" s="1"/>
      <c r="M58" s="1"/>
      <c r="N58" s="1"/>
    </row>
    <row r="59" spans="1:22" ht="14">
      <c r="A59" s="50" t="s">
        <v>37</v>
      </c>
      <c r="B59" s="51"/>
      <c r="H59" s="50" t="s">
        <v>0</v>
      </c>
      <c r="I59" s="1"/>
      <c r="J59" s="31" t="str">
        <f>IFERROR(TEXT(LOOKUP(2,1/(COUNTIF($J$1:J58,$A$2:$A$65)=0),$A$2:$A$65), "G/표준;;"),"")</f>
        <v/>
      </c>
      <c r="K59" s="1"/>
      <c r="L59" s="1"/>
      <c r="M59" s="1"/>
      <c r="N59" s="1"/>
    </row>
    <row r="60" spans="1:22" ht="14">
      <c r="A60" s="50" t="s">
        <v>37</v>
      </c>
      <c r="B60" s="51"/>
      <c r="H60" s="50" t="s">
        <v>0</v>
      </c>
      <c r="I60" s="1"/>
      <c r="J60" s="31" t="str">
        <f>IFERROR(TEXT(LOOKUP(2,1/(COUNTIF($J$1:J59,$A$2:$A$65)=0),$A$2:$A$65), "G/표준;;"),"")</f>
        <v/>
      </c>
      <c r="K60" s="1"/>
      <c r="L60" s="1"/>
      <c r="M60" s="1"/>
      <c r="N60" s="1"/>
      <c r="O60" s="1"/>
    </row>
    <row r="61" spans="1:22" ht="14">
      <c r="A61" s="50" t="s">
        <v>37</v>
      </c>
      <c r="B61" s="51"/>
      <c r="H61" s="50" t="s">
        <v>0</v>
      </c>
      <c r="I61" s="1"/>
      <c r="J61" s="31" t="str">
        <f>IFERROR(TEXT(LOOKUP(2,1/(COUNTIF($J$1:J60,$A$2:$A$65)=0),$A$2:$A$65), "G/표준;;"),"")</f>
        <v/>
      </c>
      <c r="K61" s="1"/>
      <c r="L61" s="1"/>
      <c r="M61" s="1"/>
      <c r="N61" s="1"/>
      <c r="O61" s="1"/>
    </row>
    <row r="62" spans="1:22" ht="14">
      <c r="A62" s="50" t="s">
        <v>37</v>
      </c>
      <c r="B62" s="51"/>
      <c r="H62" s="50" t="s">
        <v>0</v>
      </c>
      <c r="I62" s="1"/>
      <c r="J62" s="31" t="str">
        <f>IFERROR(TEXT(LOOKUP(2,1/(COUNTIF($J$1:J61,$A$2:$A$65)=0),$A$2:$A$65), "G/표준;;"),"")</f>
        <v/>
      </c>
      <c r="K62" s="1"/>
      <c r="L62" s="1"/>
      <c r="M62" s="1"/>
      <c r="N62" s="1"/>
      <c r="O62" s="1"/>
    </row>
    <row r="63" spans="1:22" ht="14">
      <c r="A63" s="50" t="s">
        <v>37</v>
      </c>
      <c r="B63" s="51"/>
      <c r="H63" s="50" t="s">
        <v>0</v>
      </c>
      <c r="I63" s="1"/>
      <c r="J63" s="31" t="str">
        <f>IFERROR(TEXT(LOOKUP(2,1/(COUNTIF($J$1:J62,$A$2:$A$65)=0),$A$2:$A$65), "G/표준;;"),"")</f>
        <v/>
      </c>
      <c r="K63" s="1"/>
      <c r="L63" s="1"/>
      <c r="M63" s="1"/>
      <c r="N63" s="1"/>
      <c r="O63" s="1"/>
    </row>
    <row r="64" spans="1:22" ht="14">
      <c r="A64" s="50" t="s">
        <v>37</v>
      </c>
      <c r="B64" s="51"/>
      <c r="H64" s="50" t="s">
        <v>0</v>
      </c>
      <c r="I64" s="1"/>
      <c r="J64" s="31" t="str">
        <f>IFERROR(TEXT(LOOKUP(2,1/(COUNTIF($J$1:J63,$A$2:$A$65)=0),$A$2:$A$65), "G/표준;;"),"")</f>
        <v/>
      </c>
      <c r="K64" s="1"/>
      <c r="L64" s="1"/>
      <c r="M64" s="1"/>
      <c r="N64" s="1"/>
      <c r="O64" s="1"/>
    </row>
    <row r="65" spans="1:15" ht="14">
      <c r="A65" s="50" t="s">
        <v>37</v>
      </c>
      <c r="B65" s="51"/>
      <c r="H65" s="50" t="s">
        <v>0</v>
      </c>
      <c r="I65" s="1"/>
      <c r="J65" s="31" t="str">
        <f>IFERROR(TEXT(LOOKUP(2,1/(COUNTIF($J$1:J64,$A$2:$A$65)=0),$A$2:$A$65), "G/표준;;"),"")</f>
        <v/>
      </c>
      <c r="K65" s="1"/>
      <c r="L65" s="1"/>
      <c r="M65" s="1"/>
      <c r="N65" s="1"/>
      <c r="O65" s="1"/>
    </row>
    <row r="66" spans="1:15" ht="14">
      <c r="B66" s="51"/>
      <c r="H66" s="50" t="s">
        <v>0</v>
      </c>
      <c r="I66" s="1"/>
      <c r="J66" s="31" t="str">
        <f>IFERROR(TEXT(LOOKUP(2,1/(COUNTIF($J$1:J65,$A$2:$A$65)=0),$A$2:$A$65), "G/표준;;"),"")</f>
        <v/>
      </c>
      <c r="K66" s="1"/>
      <c r="L66" s="1"/>
      <c r="M66" s="1"/>
      <c r="N66" s="1"/>
      <c r="O66" s="1"/>
    </row>
    <row r="67" spans="1:15" ht="14">
      <c r="B67" s="51"/>
      <c r="H67" s="50" t="s">
        <v>0</v>
      </c>
      <c r="I67" s="1"/>
      <c r="J67" s="31" t="str">
        <f>IFERROR(TEXT(LOOKUP(2,1/(COUNTIF($J$1:J66,$A$2:$A$65)=0),$A$2:$A$65), "G/표준;;"),"")</f>
        <v/>
      </c>
      <c r="K67" s="1"/>
      <c r="L67" s="1"/>
      <c r="M67" s="1"/>
      <c r="N67" s="1"/>
      <c r="O67" s="1"/>
    </row>
    <row r="68" spans="1:15" ht="14">
      <c r="B68" s="51"/>
      <c r="H68" s="50" t="s">
        <v>0</v>
      </c>
      <c r="I68" s="1"/>
      <c r="J68" s="31" t="str">
        <f>IFERROR(TEXT(LOOKUP(2,1/(COUNTIF($J$1:J67,$A$2:$A$65)=0),$A$2:$A$65), "G/표준;;"),"")</f>
        <v/>
      </c>
      <c r="K68" s="1"/>
      <c r="L68" s="1"/>
      <c r="M68" s="1"/>
      <c r="N68" s="1"/>
      <c r="O68" s="1"/>
    </row>
    <row r="69" spans="1:15" ht="14">
      <c r="B69" s="51"/>
      <c r="H69" s="50" t="s">
        <v>0</v>
      </c>
      <c r="I69" s="1"/>
      <c r="J69" s="31" t="str">
        <f>IFERROR(TEXT(LOOKUP(2,1/(COUNTIF($J$1:J68,$A$2:$A$65)=0),$A$2:$A$65), "G/표준;;"),"")</f>
        <v/>
      </c>
      <c r="K69" s="1"/>
      <c r="L69" s="1"/>
      <c r="M69" s="1"/>
      <c r="N69" s="1"/>
      <c r="O69" s="1"/>
    </row>
    <row r="70" spans="1:15" ht="14">
      <c r="B70" s="51"/>
      <c r="H70" s="50" t="s">
        <v>0</v>
      </c>
      <c r="J70" s="31" t="str">
        <f>IFERROR(TEXT(LOOKUP(2,1/(COUNTIF($J$1:J69,$A$2:$A$65)=0),$A$2:$A$65), "G/표준;;"),"")</f>
        <v/>
      </c>
      <c r="K70" s="1"/>
      <c r="L70" s="25"/>
      <c r="M70" s="1"/>
      <c r="N70" s="1"/>
    </row>
    <row r="71" spans="1:15" ht="14">
      <c r="B71" s="51"/>
      <c r="H71" s="50" t="s">
        <v>0</v>
      </c>
      <c r="J71" s="31" t="str">
        <f>IFERROR(TEXT(LOOKUP(2,1/(COUNTIF($J$1:J70,$A$2:$A$65)=0),$A$2:$A$65), "G/표준;;"),"")</f>
        <v/>
      </c>
      <c r="L71" s="1"/>
      <c r="M71" s="1"/>
    </row>
    <row r="72" spans="1:15" ht="14">
      <c r="B72" s="51"/>
      <c r="H72" s="50" t="s">
        <v>0</v>
      </c>
      <c r="I72" s="24"/>
      <c r="J72" s="31" t="str">
        <f>IFERROR(TEXT(LOOKUP(2,1/(COUNTIF($J$1:J71,$A$2:$A$65)=0),$A$2:$A$65), "G/표준;;"),"")</f>
        <v/>
      </c>
      <c r="K72" s="1"/>
    </row>
    <row r="73" spans="1:15" ht="14">
      <c r="B73" s="51"/>
      <c r="H73" s="50" t="s">
        <v>0</v>
      </c>
      <c r="I73" s="1"/>
      <c r="J73" s="31" t="str">
        <f>IFERROR(TEXT(LOOKUP(2,1/(COUNTIF($J$1:J72,$A$2:$A$65)=0),$A$2:$A$65), "G/표준;;"),"")</f>
        <v/>
      </c>
      <c r="K73" s="1"/>
    </row>
    <row r="74" spans="1:15" ht="14">
      <c r="B74" s="51"/>
      <c r="H74" s="50" t="s">
        <v>0</v>
      </c>
      <c r="I74" s="1"/>
      <c r="J74" s="31" t="str">
        <f>IFERROR(TEXT(LOOKUP(2,1/(COUNTIF($J$1:J73,$A$2:$A$65)=0),$A$2:$A$65), "G/표준;;"),"")</f>
        <v/>
      </c>
      <c r="K74" s="1"/>
    </row>
    <row r="75" spans="1:15" ht="14">
      <c r="B75" s="51"/>
      <c r="H75" s="50" t="s">
        <v>0</v>
      </c>
      <c r="I75" s="1"/>
      <c r="J75" s="31" t="str">
        <f>IFERROR(TEXT(LOOKUP(2,1/(COUNTIF($J$1:J74,$A$2:$A$65)=0),$A$2:$A$65), "G/표준;;"),"")</f>
        <v/>
      </c>
      <c r="K75" s="1"/>
    </row>
    <row r="76" spans="1:15" ht="14">
      <c r="B76" s="51"/>
      <c r="H76" s="50" t="s">
        <v>0</v>
      </c>
      <c r="I76" s="1"/>
      <c r="J76" s="31" t="str">
        <f>IFERROR(TEXT(LOOKUP(2,1/(COUNTIF($J$1:J75,$A$2:$A$65)=0),$A$2:$A$65), "G/표준;;"),"")</f>
        <v/>
      </c>
      <c r="K76" s="1"/>
    </row>
    <row r="77" spans="1:15" ht="14">
      <c r="B77" s="51"/>
      <c r="H77" s="50" t="s">
        <v>0</v>
      </c>
      <c r="I77" s="1"/>
      <c r="J77" s="31" t="str">
        <f>IFERROR(TEXT(LOOKUP(2,1/(COUNTIF($J$1:J76,$A$2:$A$65)=0),$A$2:$A$65), "G/표준;;"),"")</f>
        <v/>
      </c>
      <c r="K77" s="1"/>
    </row>
    <row r="78" spans="1:15" ht="14">
      <c r="B78" s="51"/>
      <c r="H78" s="50" t="s">
        <v>0</v>
      </c>
      <c r="I78" s="1"/>
      <c r="J78" s="31" t="str">
        <f>IFERROR(TEXT(LOOKUP(2,1/(COUNTIF($J$1:J77,$A$2:$A$65)=0),$A$2:$A$65), "G/표준;;"),"")</f>
        <v/>
      </c>
      <c r="K78" s="1"/>
    </row>
    <row r="79" spans="1:15" ht="14">
      <c r="B79" s="51"/>
      <c r="H79" s="50" t="s">
        <v>0</v>
      </c>
      <c r="I79" s="1"/>
      <c r="J79" s="31" t="str">
        <f>IFERROR(TEXT(LOOKUP(2,1/(COUNTIF($J$1:J78,$A$2:$A$65)=0),$A$2:$A$65), "G/표준;;"),"")</f>
        <v/>
      </c>
      <c r="K79" s="1"/>
    </row>
    <row r="80" spans="1:15" ht="14">
      <c r="B80" s="51"/>
      <c r="H80" s="50" t="s">
        <v>0</v>
      </c>
      <c r="I80" s="1"/>
      <c r="J80" s="31" t="str">
        <f>IFERROR(TEXT(LOOKUP(2,1/(COUNTIF($J$1:J79,$A$2:$A$65)=0),$A$2:$A$65), "G/표준;;"),"")</f>
        <v/>
      </c>
      <c r="K80" s="1"/>
    </row>
    <row r="81" spans="2:10">
      <c r="B81" s="51"/>
      <c r="H81" s="50" t="s">
        <v>0</v>
      </c>
      <c r="J81" s="31" t="str">
        <f>IFERROR(TEXT(LOOKUP(2,1/(COUNTIF($J$1:J80,$A$2:$A$65)=0),$A$2:$A$65), "G/표준;;"),"")</f>
        <v/>
      </c>
    </row>
    <row r="82" spans="2:10">
      <c r="B82" s="51"/>
      <c r="H82" s="50" t="s">
        <v>0</v>
      </c>
      <c r="J82" s="31" t="str">
        <f>IFERROR(TEXT(LOOKUP(2,1/(COUNTIF($J$1:J81,$A$2:$A$65)=0),$A$2:$A$65), "G/표준;;"),"")</f>
        <v/>
      </c>
    </row>
    <row r="83" spans="2:10">
      <c r="B83" s="51"/>
      <c r="H83" s="50" t="s">
        <v>0</v>
      </c>
      <c r="J83" s="31" t="str">
        <f>IFERROR(TEXT(LOOKUP(2,1/(COUNTIF($J$1:J82,$A$2:$A$65)=0),$A$2:$A$65), "G/표준;;"),"")</f>
        <v/>
      </c>
    </row>
    <row r="84" spans="2:10">
      <c r="B84" s="51"/>
      <c r="H84" s="50" t="s">
        <v>0</v>
      </c>
      <c r="J84" s="31" t="str">
        <f>IFERROR(TEXT(LOOKUP(2,1/(COUNTIF($J$1:J83,$A$2:$A$65)=0),$A$2:$A$65), "G/표준;;"),"")</f>
        <v/>
      </c>
    </row>
    <row r="85" spans="2:10">
      <c r="B85" s="51"/>
      <c r="H85" s="50" t="s">
        <v>0</v>
      </c>
      <c r="J85" s="31" t="str">
        <f>IFERROR(TEXT(LOOKUP(2,1/(COUNTIF($J$1:J84,$A$2:$A$65)=0),$A$2:$A$65), "G/표준;;"),"")</f>
        <v/>
      </c>
    </row>
    <row r="86" spans="2:10">
      <c r="B86" s="51"/>
      <c r="H86" s="50" t="s">
        <v>0</v>
      </c>
      <c r="J86" s="31" t="str">
        <f>IFERROR(TEXT(LOOKUP(2,1/(COUNTIF($J$1:J85,$A$2:$A$65)=0),$A$2:$A$65), "G/표준;;"),"")</f>
        <v/>
      </c>
    </row>
    <row r="87" spans="2:10">
      <c r="B87" s="51"/>
      <c r="H87" s="50" t="s">
        <v>0</v>
      </c>
      <c r="J87" s="31" t="str">
        <f>IFERROR(TEXT(LOOKUP(2,1/(COUNTIF($J$1:J86,$A$2:$A$65)=0),$A$2:$A$65), "G/표준;;"),"")</f>
        <v/>
      </c>
    </row>
    <row r="88" spans="2:10">
      <c r="B88" s="51"/>
      <c r="H88" s="50" t="s">
        <v>0</v>
      </c>
      <c r="J88" s="31" t="str">
        <f>IFERROR(TEXT(LOOKUP(2,1/(COUNTIF($J$1:J87,$A$2:$A$65)=0),$A$2:$A$65), "G/표준;;"),"")</f>
        <v/>
      </c>
    </row>
    <row r="89" spans="2:10">
      <c r="B89" s="51"/>
      <c r="H89" s="50" t="s">
        <v>0</v>
      </c>
      <c r="J89" s="31" t="str">
        <f>IFERROR(TEXT(LOOKUP(2,1/(COUNTIF($J$1:J88,$A$2:$A$65)=0),$A$2:$A$65), "G/표준;;"),"")</f>
        <v/>
      </c>
    </row>
    <row r="90" spans="2:10">
      <c r="B90" s="51"/>
      <c r="H90" s="50" t="s">
        <v>0</v>
      </c>
      <c r="J90" s="31" t="str">
        <f>IFERROR(TEXT(LOOKUP(2,1/(COUNTIF($J$1:J89,$A$2:$A$65)=0),$A$2:$A$65), "G/표준;;"),"")</f>
        <v/>
      </c>
    </row>
    <row r="91" spans="2:10">
      <c r="B91" s="51"/>
      <c r="H91" s="50" t="s">
        <v>0</v>
      </c>
      <c r="J91" s="31" t="str">
        <f>IFERROR(TEXT(LOOKUP(2,1/(COUNTIF($J$1:J90,$A$2:$A$65)=0),$A$2:$A$65), "G/표준;;"),"")</f>
        <v/>
      </c>
    </row>
    <row r="92" spans="2:10">
      <c r="B92" s="51"/>
      <c r="H92" s="50" t="s">
        <v>0</v>
      </c>
      <c r="J92" s="31" t="str">
        <f>IFERROR(TEXT(LOOKUP(2,1/(COUNTIF($J$1:J91,$A$2:$A$65)=0),$A$2:$A$65), "G/표준;;"),"")</f>
        <v/>
      </c>
    </row>
    <row r="93" spans="2:10">
      <c r="B93" s="51"/>
      <c r="H93" s="50" t="s">
        <v>0</v>
      </c>
      <c r="J93" s="31" t="str">
        <f>IFERROR(TEXT(LOOKUP(2,1/(COUNTIF($J$1:J92,$A$2:$A$65)=0),$A$2:$A$65), "G/표준;;"),"")</f>
        <v/>
      </c>
    </row>
    <row r="94" spans="2:10">
      <c r="B94" s="51"/>
      <c r="H94" s="50" t="s">
        <v>0</v>
      </c>
      <c r="J94" s="31" t="str">
        <f>IFERROR(TEXT(LOOKUP(2,1/(COUNTIF($J$1:J93,$A$2:$A$65)=0),$A$2:$A$65), "G/표준;;"),"")</f>
        <v/>
      </c>
    </row>
    <row r="95" spans="2:10">
      <c r="B95" s="51"/>
      <c r="H95" s="50" t="s">
        <v>0</v>
      </c>
      <c r="J95" s="31" t="str">
        <f>IFERROR(TEXT(LOOKUP(2,1/(COUNTIF($J$1:J94,$A$2:$A$65)=0),$A$2:$A$65), "G/표준;;"),"")</f>
        <v/>
      </c>
    </row>
    <row r="96" spans="2:10">
      <c r="B96" s="51"/>
      <c r="H96" s="50" t="s">
        <v>0</v>
      </c>
      <c r="J96" s="31" t="str">
        <f>IFERROR(TEXT(LOOKUP(2,1/(COUNTIF($J$1:J95,$A$2:$A$65)=0),$A$2:$A$65), "G/표준;;"),"")</f>
        <v/>
      </c>
    </row>
    <row r="97" spans="2:10">
      <c r="B97" s="51"/>
      <c r="H97" s="50" t="s">
        <v>0</v>
      </c>
      <c r="J97" s="31" t="str">
        <f>IFERROR(TEXT(LOOKUP(2,1/(COUNTIF($J$1:J96,$A$2:$A$65)=0),$A$2:$A$65), "G/표준;;"),"")</f>
        <v/>
      </c>
    </row>
    <row r="98" spans="2:10">
      <c r="B98" s="51"/>
      <c r="H98" s="50" t="s">
        <v>0</v>
      </c>
      <c r="J98" s="31" t="str">
        <f>IFERROR(TEXT(LOOKUP(2,1/(COUNTIF($J$1:J97,$A$2:$A$65)=0),$A$2:$A$65), "G/표준;;"),"")</f>
        <v/>
      </c>
    </row>
    <row r="99" spans="2:10">
      <c r="B99" s="51"/>
      <c r="H99" s="50" t="s">
        <v>0</v>
      </c>
      <c r="J99" s="31" t="str">
        <f>IFERROR(TEXT(LOOKUP(2,1/(COUNTIF($J$1:J98,$A$2:$A$65)=0),$A$2:$A$65), "G/표준;;"),"")</f>
        <v/>
      </c>
    </row>
    <row r="100" spans="2:10">
      <c r="B100" s="51"/>
      <c r="H100" s="50" t="s">
        <v>0</v>
      </c>
      <c r="J100" s="31" t="str">
        <f>IFERROR(TEXT(LOOKUP(2,1/(COUNTIF($J$1:J99,$A$2:$A$65)=0),$A$2:$A$65), "G/표준;;"),"")</f>
        <v/>
      </c>
    </row>
    <row r="101" spans="2:10">
      <c r="J101" s="31" t="str">
        <f>IFERROR(TEXT(LOOKUP(2,1/(COUNTIF($J$1:J100,$A$2:$A$65)=0),$A$2:$A$65), "G/표준;;"),"")</f>
        <v/>
      </c>
    </row>
    <row r="102" spans="2:10">
      <c r="J102" s="31" t="str">
        <f>IFERROR(TEXT(LOOKUP(2,1/(COUNTIF($J$1:J101,$A$2:$A$65)=0),$A$2:$A$65), "G/표준;;"),"")</f>
        <v/>
      </c>
    </row>
    <row r="103" spans="2:10">
      <c r="J103" s="31" t="str">
        <f>IFERROR(TEXT(LOOKUP(2,1/(COUNTIF($J$1:J102,$A$2:$A$65)=0),$A$2:$A$65), "G/표준;;"),"")</f>
        <v/>
      </c>
    </row>
    <row r="104" spans="2:10">
      <c r="J104" s="31" t="str">
        <f>IFERROR(TEXT(LOOKUP(2,1/(COUNTIF($J$1:J103,$A$2:$A$65)=0),$A$2:$A$65), "G/표준;;"),"")</f>
        <v/>
      </c>
    </row>
    <row r="105" spans="2:10">
      <c r="J105" s="31" t="str">
        <f>IFERROR(TEXT(LOOKUP(2,1/(COUNTIF($J$1:J104,$A$2:$A$65)=0),$A$2:$A$65), "G/표준;;"),"")</f>
        <v/>
      </c>
    </row>
    <row r="106" spans="2:10">
      <c r="J106" s="31" t="str">
        <f>IFERROR(TEXT(LOOKUP(2,1/(COUNTIF($J$1:J105,$A$2:$A$65)=0),$A$2:$A$65), "G/표준;;"),"")</f>
        <v/>
      </c>
    </row>
    <row r="107" spans="2:10">
      <c r="J107" s="31" t="str">
        <f>IFERROR(TEXT(LOOKUP(2,1/(COUNTIF($J$1:J106,$A$2:$A$65)=0),$A$2:$A$65), "G/표준;;"),"")</f>
        <v/>
      </c>
    </row>
    <row r="108" spans="2:10">
      <c r="J108" s="31" t="str">
        <f>IFERROR(TEXT(LOOKUP(2,1/(COUNTIF($J$1:J107,$A$2:$A$65)=0),$A$2:$A$65), "G/표준;;"),"")</f>
        <v/>
      </c>
    </row>
    <row r="109" spans="2:10">
      <c r="J109" s="31" t="str">
        <f>IFERROR(TEXT(LOOKUP(2,1/(COUNTIF($J$1:J108,$A$2:$A$65)=0),$A$2:$A$65), "G/표준;;"),"")</f>
        <v/>
      </c>
    </row>
    <row r="110" spans="2:10">
      <c r="J110" s="31" t="str">
        <f>IFERROR(TEXT(LOOKUP(2,1/(COUNTIF($J$1:J109,$A$2:$A$65)=0),$A$2:$A$65), "G/표준;;"),"")</f>
        <v/>
      </c>
    </row>
    <row r="111" spans="2:10">
      <c r="J111" s="31" t="str">
        <f>IFERROR(TEXT(LOOKUP(2,1/(COUNTIF($J$1:J110,$A$2:$A$65)=0),$A$2:$A$65), "G/표준;;"),"")</f>
        <v/>
      </c>
    </row>
    <row r="112" spans="2:10">
      <c r="J112" s="31" t="str">
        <f>IFERROR(TEXT(LOOKUP(2,1/(COUNTIF($J$1:J111,$A$2:$A$65)=0),$A$2:$A$65), "G/표준;;"),"")</f>
        <v/>
      </c>
    </row>
    <row r="113" spans="10:10">
      <c r="J113" s="31" t="str">
        <f>IFERROR(TEXT(LOOKUP(2,1/(COUNTIF($J$1:J112,$A$2:$A$65)=0),$A$2:$A$65), "G/표준;;"),"")</f>
        <v/>
      </c>
    </row>
    <row r="114" spans="10:10">
      <c r="J114" s="31" t="str">
        <f>IFERROR(TEXT(LOOKUP(2,1/(COUNTIF($J$1:J113,$A$2:$A$65)=0),$A$2:$A$65), "G/표준;;"),"")</f>
        <v/>
      </c>
    </row>
    <row r="115" spans="10:10">
      <c r="J115" s="31" t="str">
        <f>IFERROR(TEXT(LOOKUP(2,1/(COUNTIF($J$1:J114,$A$2:$A$65)=0),$A$2:$A$65), "G/표준;;"),"")</f>
        <v/>
      </c>
    </row>
    <row r="116" spans="10:10">
      <c r="J116" s="31" t="str">
        <f>IFERROR(TEXT(LOOKUP(2,1/(COUNTIF($J$1:J115,$A$2:$A$65)=0),$A$2:$A$65), "G/표준;;"),"")</f>
        <v/>
      </c>
    </row>
    <row r="117" spans="10:10">
      <c r="J117" s="31" t="str">
        <f>IFERROR(TEXT(LOOKUP(2,1/(COUNTIF($J$1:J116,$A$2:$A$65)=0),$A$2:$A$65), "G/표준;;"),"")</f>
        <v/>
      </c>
    </row>
    <row r="118" spans="10:10">
      <c r="J118" s="31" t="str">
        <f>IFERROR(TEXT(LOOKUP(2,1/(COUNTIF($J$1:J117,$A$2:$A$65)=0),$A$2:$A$65), "G/표준;;"),"")</f>
        <v/>
      </c>
    </row>
    <row r="119" spans="10:10">
      <c r="J119" s="31" t="str">
        <f>IFERROR(TEXT(LOOKUP(2,1/(COUNTIF($J$1:J118,$A$2:$A$65)=0),$A$2:$A$65), "G/표준;;"),"")</f>
        <v/>
      </c>
    </row>
    <row r="120" spans="10:10">
      <c r="J120" s="31" t="str">
        <f>IFERROR(TEXT(LOOKUP(2,1/(COUNTIF($J$1:J119,$A$2:$A$65)=0),$A$2:$A$65), "G/표준;;"),"")</f>
        <v/>
      </c>
    </row>
    <row r="121" spans="10:10">
      <c r="J121" s="31" t="str">
        <f>IFERROR(TEXT(LOOKUP(2,1/(COUNTIF($J$1:J120,$A$2:$A$65)=0),$A$2:$A$65), "G/표준;;"),"")</f>
        <v/>
      </c>
    </row>
    <row r="122" spans="10:10">
      <c r="J122" s="31" t="str">
        <f>IFERROR(TEXT(LOOKUP(2,1/(COUNTIF($J$1:J121,$A$2:$A$65)=0),$A$2:$A$65), "G/표준;;"),"")</f>
        <v/>
      </c>
    </row>
    <row r="123" spans="10:10">
      <c r="J123" s="31" t="str">
        <f>IFERROR(TEXT(LOOKUP(2,1/(COUNTIF($J$1:J122,$A$2:$A$65)=0),$A$2:$A$65), "G/표준;;"),"")</f>
        <v/>
      </c>
    </row>
    <row r="124" spans="10:10">
      <c r="J124" s="31" t="str">
        <f>IFERROR(TEXT(LOOKUP(2,1/(COUNTIF($J$1:J123,$A$2:$A$65)=0),$A$2:$A$65), "G/표준;;"),"")</f>
        <v/>
      </c>
    </row>
    <row r="125" spans="10:10">
      <c r="J125" s="31" t="str">
        <f>IFERROR(TEXT(LOOKUP(2,1/(COUNTIF($J$1:J124,$A$2:$A$65)=0),$A$2:$A$65), "G/표준;;"),"")</f>
        <v/>
      </c>
    </row>
    <row r="126" spans="10:10">
      <c r="J126" s="31" t="str">
        <f>IFERROR(TEXT(LOOKUP(2,1/(COUNTIF($J$1:J125,$A$2:$A$65)=0),$A$2:$A$65), "G/표준;;"),"")</f>
        <v/>
      </c>
    </row>
    <row r="127" spans="10:10">
      <c r="J127" s="31" t="str">
        <f>IFERROR(TEXT(LOOKUP(2,1/(COUNTIF($J$1:J126,$A$2:$A$65)=0),$A$2:$A$65), "G/표준;;"),"")</f>
        <v/>
      </c>
    </row>
    <row r="128" spans="10:10">
      <c r="J128" s="31" t="str">
        <f>IFERROR(TEXT(LOOKUP(2,1/(COUNTIF($J$1:J127,$A$2:$A$65)=0),$A$2:$A$65), "G/표준;;"),"")</f>
        <v/>
      </c>
    </row>
    <row r="129" spans="10:10">
      <c r="J129" s="31" t="str">
        <f>IFERROR(TEXT(LOOKUP(2,1/(COUNTIF($J$1:J128,$A$2:$A$65)=0),$A$2:$A$65), "G/표준;;"),"")</f>
        <v/>
      </c>
    </row>
    <row r="130" spans="10:10">
      <c r="J130" s="31" t="str">
        <f>IFERROR(TEXT(LOOKUP(2,1/(COUNTIF($J$1:J129,$A$2:$A$65)=0),$A$2:$A$65), "G/표준;;"),"")</f>
        <v/>
      </c>
    </row>
    <row r="131" spans="10:10">
      <c r="J131" s="31" t="str">
        <f>IFERROR(TEXT(LOOKUP(2,1/(COUNTIF($J$1:J130,$A$2:$A$65)=0),$A$2:$A$65), "G/표준;;"),"")</f>
        <v/>
      </c>
    </row>
    <row r="132" spans="10:10">
      <c r="J132" s="31" t="str">
        <f>IFERROR(TEXT(LOOKUP(2,1/(COUNTIF($J$1:J131,$A$2:$A$65)=0),$A$2:$A$65), "G/표준;;"),"")</f>
        <v/>
      </c>
    </row>
    <row r="133" spans="10:10">
      <c r="J133" s="31" t="str">
        <f>IFERROR(TEXT(LOOKUP(2,1/(COUNTIF($J$1:J132,$A$2:$A$65)=0),$A$2:$A$65), "G/표준;;"),"")</f>
        <v/>
      </c>
    </row>
    <row r="134" spans="10:10">
      <c r="J134" s="31" t="str">
        <f>IFERROR(TEXT(LOOKUP(2,1/(COUNTIF($J$1:J133,$A$2:$A$65)=0),$A$2:$A$65), "G/표준;;"),"")</f>
        <v/>
      </c>
    </row>
    <row r="135" spans="10:10">
      <c r="J135" s="31" t="str">
        <f>IFERROR(TEXT(LOOKUP(2,1/(COUNTIF($J$1:J134,$A$2:$A$65)=0),$A$2:$A$65), "G/표준;;"),"")</f>
        <v/>
      </c>
    </row>
    <row r="136" spans="10:10">
      <c r="J136" s="31" t="str">
        <f>IFERROR(TEXT(LOOKUP(2,1/(COUNTIF($J$1:J135,$A$2:$A$65)=0),$A$2:$A$65), "G/표준;;"),"")</f>
        <v/>
      </c>
    </row>
    <row r="137" spans="10:10">
      <c r="J137" s="31" t="str">
        <f>IFERROR(TEXT(LOOKUP(2,1/(COUNTIF($J$1:J136,$A$2:$A$65)=0),$A$2:$A$65), "G/표준;;"),"")</f>
        <v/>
      </c>
    </row>
    <row r="138" spans="10:10">
      <c r="J138" s="31" t="str">
        <f>IFERROR(TEXT(LOOKUP(2,1/(COUNTIF($J$1:J137,$A$2:$A$65)=0),$A$2:$A$65), "G/표준;;"),"")</f>
        <v/>
      </c>
    </row>
    <row r="139" spans="10:10">
      <c r="J139" s="31" t="str">
        <f>IFERROR(TEXT(LOOKUP(2,1/(COUNTIF($J$1:J138,$A$2:$A$65)=0),$A$2:$A$65), "G/표준;;"),"")</f>
        <v/>
      </c>
    </row>
    <row r="140" spans="10:10">
      <c r="J140" s="31" t="str">
        <f>IFERROR(TEXT(LOOKUP(2,1/(COUNTIF($J$1:J139,$A$2:$A$65)=0),$A$2:$A$65), "G/표준;;"),"")</f>
        <v/>
      </c>
    </row>
    <row r="141" spans="10:10">
      <c r="J141" s="31" t="str">
        <f>IFERROR(TEXT(LOOKUP(2,1/(COUNTIF($J$1:J140,$A$2:$A$65)=0),$A$2:$A$65), "G/표준;;"),"")</f>
        <v/>
      </c>
    </row>
    <row r="142" spans="10:10">
      <c r="J142" s="31" t="str">
        <f>IFERROR(TEXT(LOOKUP(2,1/(COUNTIF($J$1:J141,$A$2:$A$65)=0),$A$2:$A$65), "G/표준;;"),"")</f>
        <v/>
      </c>
    </row>
    <row r="143" spans="10:10">
      <c r="J143" s="31" t="str">
        <f>IFERROR(TEXT(LOOKUP(2,1/(COUNTIF($J$1:J142,$A$2:$A$65)=0),$A$2:$A$65), "G/표준;;"),"")</f>
        <v/>
      </c>
    </row>
    <row r="144" spans="10:10">
      <c r="J144" s="31" t="str">
        <f>IFERROR(TEXT(LOOKUP(2,1/(COUNTIF($J$1:J143,$A$2:$A$65)=0),$A$2:$A$65), "G/표준;;"),"")</f>
        <v/>
      </c>
    </row>
    <row r="145" spans="10:10">
      <c r="J145" s="31" t="str">
        <f>IFERROR(TEXT(LOOKUP(2,1/(COUNTIF($J$1:J144,$A$2:$A$65)=0),$A$2:$A$65), "G/표준;;"),"")</f>
        <v/>
      </c>
    </row>
    <row r="146" spans="10:10">
      <c r="J146" s="31" t="str">
        <f>IFERROR(TEXT(LOOKUP(2,1/(COUNTIF($J$1:J145,$A$2:$A$65)=0),$A$2:$A$65), "G/표준;;"),"")</f>
        <v/>
      </c>
    </row>
    <row r="147" spans="10:10">
      <c r="J147" s="31" t="str">
        <f>IFERROR(TEXT(LOOKUP(2,1/(COUNTIF($J$1:J146,$A$2:$A$65)=0),$A$2:$A$65), "G/표준;;"),"")</f>
        <v/>
      </c>
    </row>
    <row r="148" spans="10:10">
      <c r="J148" s="31" t="str">
        <f>IFERROR(TEXT(LOOKUP(2,1/(COUNTIF($J$1:J147,$A$2:$A$65)=0),$A$2:$A$65), "G/표준;;"),"")</f>
        <v/>
      </c>
    </row>
    <row r="149" spans="10:10">
      <c r="J149" s="31" t="str">
        <f>IFERROR(TEXT(LOOKUP(2,1/(COUNTIF($J$1:J148,$A$2:$A$65)=0),$A$2:$A$65), "G/표준;;"),"")</f>
        <v/>
      </c>
    </row>
    <row r="150" spans="10:10">
      <c r="J150" s="31" t="str">
        <f>IFERROR(TEXT(LOOKUP(2,1/(COUNTIF($J$1:J149,$A$2:$A$65)=0),$A$2:$A$65), "G/표준;;"),"")</f>
        <v/>
      </c>
    </row>
    <row r="151" spans="10:10">
      <c r="J151" s="31" t="str">
        <f>IFERROR(TEXT(LOOKUP(2,1/(COUNTIF($J$1:J150,$A$2:$A$65)=0),$A$2:$A$65), "G/표준;;"),"")</f>
        <v/>
      </c>
    </row>
    <row r="152" spans="10:10">
      <c r="J152" s="31" t="str">
        <f>IFERROR(TEXT(LOOKUP(2,1/(COUNTIF($J$1:J151,$A$2:$A$65)=0),$A$2:$A$65), "G/표준;;"),"")</f>
        <v/>
      </c>
    </row>
    <row r="153" spans="10:10">
      <c r="J153" s="31" t="str">
        <f>IFERROR(TEXT(LOOKUP(2,1/(COUNTIF($J$1:J152,$A$2:$A$65)=0),$A$2:$A$65), "G/표준;;"),"")</f>
        <v/>
      </c>
    </row>
    <row r="154" spans="10:10">
      <c r="J154" s="31" t="str">
        <f>IFERROR(TEXT(LOOKUP(2,1/(COUNTIF($J$1:J153,$A$2:$A$65)=0),$A$2:$A$65), "G/표준;;"),"")</f>
        <v/>
      </c>
    </row>
    <row r="155" spans="10:10">
      <c r="J155" s="31" t="str">
        <f>IFERROR(TEXT(LOOKUP(2,1/(COUNTIF($J$1:J154,$A$2:$A$65)=0),$A$2:$A$65), "G/표준;;"),"")</f>
        <v/>
      </c>
    </row>
    <row r="156" spans="10:10">
      <c r="J156" s="31" t="str">
        <f>IFERROR(TEXT(LOOKUP(2,1/(COUNTIF($J$1:J155,$A$2:$A$65)=0),$A$2:$A$65), "G/표준;;"),"")</f>
        <v/>
      </c>
    </row>
    <row r="157" spans="10:10">
      <c r="J157" s="31" t="str">
        <f>IFERROR(TEXT(LOOKUP(2,1/(COUNTIF($J$1:J156,$A$2:$A$65)=0),$A$2:$A$65), "G/표준;;"),"")</f>
        <v/>
      </c>
    </row>
    <row r="158" spans="10:10">
      <c r="J158" s="31" t="str">
        <f>IFERROR(TEXT(LOOKUP(2,1/(COUNTIF($J$1:J157,$A$2:$A$65)=0),$A$2:$A$65), "G/표준;;"),"")</f>
        <v/>
      </c>
    </row>
    <row r="159" spans="10:10">
      <c r="J159" s="31" t="str">
        <f>IFERROR(TEXT(LOOKUP(2,1/(COUNTIF($J$1:J158,$A$2:$A$65)=0),$A$2:$A$65), "G/표준;;"),"")</f>
        <v/>
      </c>
    </row>
    <row r="160" spans="10:10">
      <c r="J160" s="31" t="str">
        <f>IFERROR(TEXT(LOOKUP(2,1/(COUNTIF($J$1:J159,$A$2:$A$65)=0),$A$2:$A$65), "G/표준;;"),"")</f>
        <v/>
      </c>
    </row>
    <row r="161" spans="10:10">
      <c r="J161" s="31" t="str">
        <f>IFERROR(TEXT(LOOKUP(2,1/(COUNTIF($J$1:J160,$A$2:$A$65)=0),$A$2:$A$65), "G/표준;;"),"")</f>
        <v/>
      </c>
    </row>
    <row r="162" spans="10:10">
      <c r="J162" s="31" t="str">
        <f>IFERROR(TEXT(LOOKUP(2,1/(COUNTIF($J$1:J161,$A$2:$A$65)=0),$A$2:$A$65), "G/표준;;"),"")</f>
        <v/>
      </c>
    </row>
    <row r="163" spans="10:10">
      <c r="J163" s="31" t="str">
        <f>IFERROR(TEXT(LOOKUP(2,1/(COUNTIF($J$1:J162,$A$2:$A$65)=0),$A$2:$A$65), "G/표준;;"),"")</f>
        <v/>
      </c>
    </row>
    <row r="164" spans="10:10">
      <c r="J164" s="31" t="str">
        <f>IFERROR(TEXT(LOOKUP(2,1/(COUNTIF($J$1:J163,$A$2:$A$65)=0),$A$2:$A$65), "G/표준;;"),"")</f>
        <v/>
      </c>
    </row>
    <row r="165" spans="10:10">
      <c r="J165" s="31" t="str">
        <f>IFERROR(TEXT(LOOKUP(2,1/(COUNTIF($J$1:J164,$A$2:$A$65)=0),$A$2:$A$65), "G/표준;;"),"")</f>
        <v/>
      </c>
    </row>
    <row r="166" spans="10:10">
      <c r="J166" s="31" t="str">
        <f>IFERROR(TEXT(LOOKUP(2,1/(COUNTIF($J$1:J165,$A$2:$A$65)=0),$A$2:$A$65), "G/표준;;"),"")</f>
        <v/>
      </c>
    </row>
    <row r="167" spans="10:10">
      <c r="J167" s="31" t="str">
        <f>IFERROR(TEXT(LOOKUP(2,1/(COUNTIF($J$1:J166,$A$2:$A$65)=0),$A$2:$A$65), "G/표준;;"),"")</f>
        <v/>
      </c>
    </row>
    <row r="168" spans="10:10">
      <c r="J168" s="31" t="str">
        <f>IFERROR(TEXT(LOOKUP(2,1/(COUNTIF($J$1:J167,$A$2:$A$65)=0),$A$2:$A$65), "G/표준;;"),"")</f>
        <v/>
      </c>
    </row>
    <row r="169" spans="10:10">
      <c r="J169" s="31" t="str">
        <f>IFERROR(TEXT(LOOKUP(2,1/(COUNTIF($J$1:J168,$A$2:$A$65)=0),$A$2:$A$65), "G/표준;;"),"")</f>
        <v/>
      </c>
    </row>
    <row r="170" spans="10:10">
      <c r="J170" s="31" t="str">
        <f>IFERROR(TEXT(LOOKUP(2,1/(COUNTIF($J$1:J169,$A$2:$A$65)=0),$A$2:$A$65), "G/표준;;"),"")</f>
        <v/>
      </c>
    </row>
    <row r="171" spans="10:10">
      <c r="J171" s="31" t="str">
        <f>IFERROR(TEXT(LOOKUP(2,1/(COUNTIF($J$1:J170,$A$2:$A$65)=0),$A$2:$A$65), "G/표준;;"),"")</f>
        <v/>
      </c>
    </row>
    <row r="172" spans="10:10">
      <c r="J172" s="31" t="str">
        <f>IFERROR(TEXT(LOOKUP(2,1/(COUNTIF($J$1:J171,$A$2:$A$65)=0),$A$2:$A$65), "G/표준;;"),"")</f>
        <v/>
      </c>
    </row>
    <row r="173" spans="10:10">
      <c r="J173" s="31" t="str">
        <f>IFERROR(TEXT(LOOKUP(2,1/(COUNTIF($J$1:J172,$A$2:$A$65)=0),$A$2:$A$65), "G/표준;;"),"")</f>
        <v/>
      </c>
    </row>
    <row r="174" spans="10:10">
      <c r="J174" s="31" t="str">
        <f>IFERROR(TEXT(LOOKUP(2,1/(COUNTIF($J$1:J173,$A$2:$A$65)=0),$A$2:$A$65), "G/표준;;"),"")</f>
        <v/>
      </c>
    </row>
    <row r="175" spans="10:10">
      <c r="J175" s="31" t="str">
        <f>IFERROR(TEXT(LOOKUP(2,1/(COUNTIF($J$1:J174,$A$2:$A$65)=0),$A$2:$A$65), "G/표준;;"),"")</f>
        <v/>
      </c>
    </row>
    <row r="176" spans="10:10">
      <c r="J176" s="31" t="str">
        <f>IFERROR(TEXT(LOOKUP(2,1/(COUNTIF($J$1:J175,$A$2:$A$65)=0),$A$2:$A$65), "G/표준;;"),"")</f>
        <v/>
      </c>
    </row>
    <row r="177" spans="10:10">
      <c r="J177" s="31" t="str">
        <f>IFERROR(TEXT(LOOKUP(2,1/(COUNTIF($J$1:J176,$A$2:$A$65)=0),$A$2:$A$65), "G/표준;;"),"")</f>
        <v/>
      </c>
    </row>
    <row r="178" spans="10:10">
      <c r="J178" s="31" t="str">
        <f>IFERROR(TEXT(LOOKUP(2,1/(COUNTIF($J$1:J177,$A$2:$A$65)=0),$A$2:$A$65), "G/표준;;"),"")</f>
        <v/>
      </c>
    </row>
    <row r="179" spans="10:10">
      <c r="J179" s="31" t="str">
        <f>IFERROR(TEXT(LOOKUP(2,1/(COUNTIF($J$1:J178,$A$2:$A$65)=0),$A$2:$A$65), "G/표준;;"),"")</f>
        <v/>
      </c>
    </row>
    <row r="180" spans="10:10">
      <c r="J180" s="31" t="str">
        <f>IFERROR(TEXT(LOOKUP(2,1/(COUNTIF($J$1:J179,$A$2:$A$65)=0),$A$2:$A$65), "G/표준;;"),"")</f>
        <v/>
      </c>
    </row>
    <row r="181" spans="10:10">
      <c r="J181" s="31" t="str">
        <f>IFERROR(TEXT(LOOKUP(2,1/(COUNTIF($J$1:J180,$A$2:$A$65)=0),$A$2:$A$65), "G/표준;;"),"")</f>
        <v/>
      </c>
    </row>
    <row r="182" spans="10:10">
      <c r="J182" s="31" t="str">
        <f>IFERROR(TEXT(LOOKUP(2,1/(COUNTIF($J$1:J181,$A$2:$A$65)=0),$A$2:$A$65), "G/표준;;"),"")</f>
        <v/>
      </c>
    </row>
    <row r="183" spans="10:10">
      <c r="J183" s="31" t="str">
        <f>IFERROR(TEXT(LOOKUP(2,1/(COUNTIF($J$1:J182,$A$2:$A$65)=0),$A$2:$A$65), "G/표준;;"),"")</f>
        <v/>
      </c>
    </row>
    <row r="184" spans="10:10">
      <c r="J184" s="31" t="str">
        <f>IFERROR(TEXT(LOOKUP(2,1/(COUNTIF($J$1:J183,$A$2:$A$65)=0),$A$2:$A$65), "G/표준;;"),"")</f>
        <v/>
      </c>
    </row>
    <row r="185" spans="10:10">
      <c r="J185" s="31" t="str">
        <f>IFERROR(TEXT(LOOKUP(2,1/(COUNTIF($J$1:J184,$A$2:$A$65)=0),$A$2:$A$65), "G/표준;;"),"")</f>
        <v/>
      </c>
    </row>
    <row r="186" spans="10:10">
      <c r="J186" s="31" t="str">
        <f>IFERROR(TEXT(LOOKUP(2,1/(COUNTIF($J$1:J185,$A$2:$A$65)=0),$A$2:$A$65), "G/표준;;"),"")</f>
        <v/>
      </c>
    </row>
    <row r="187" spans="10:10">
      <c r="J187" s="31" t="str">
        <f>IFERROR(TEXT(LOOKUP(2,1/(COUNTIF($J$1:J186,$A$2:$A$65)=0),$A$2:$A$65), "G/표준;;"),"")</f>
        <v/>
      </c>
    </row>
    <row r="188" spans="10:10">
      <c r="J188" s="31" t="str">
        <f>IFERROR(TEXT(LOOKUP(2,1/(COUNTIF($J$1:J187,$A$2:$A$65)=0),$A$2:$A$65), "G/표준;;"),"")</f>
        <v/>
      </c>
    </row>
    <row r="189" spans="10:10">
      <c r="J189" s="31" t="str">
        <f>IFERROR(TEXT(LOOKUP(2,1/(COUNTIF($J$1:J188,$A$2:$A$65)=0),$A$2:$A$65), "G/표준;;"),"")</f>
        <v/>
      </c>
    </row>
    <row r="190" spans="10:10">
      <c r="J190" s="31" t="str">
        <f>IFERROR(TEXT(LOOKUP(2,1/(COUNTIF($J$1:J189,$A$2:$A$65)=0),$A$2:$A$65), "G/표준;;"),"")</f>
        <v/>
      </c>
    </row>
    <row r="191" spans="10:10">
      <c r="J191" s="31" t="str">
        <f>IFERROR(TEXT(LOOKUP(2,1/(COUNTIF($J$1:J190,$A$2:$A$65)=0),$A$2:$A$65), "G/표준;;"),"")</f>
        <v/>
      </c>
    </row>
    <row r="192" spans="10:10">
      <c r="J192" s="31" t="str">
        <f>IFERROR(TEXT(LOOKUP(2,1/(COUNTIF($J$1:J191,$A$2:$A$65)=0),$A$2:$A$65), "G/표준;;"),"")</f>
        <v/>
      </c>
    </row>
    <row r="193" spans="10:10">
      <c r="J193" s="31" t="str">
        <f>IFERROR(TEXT(LOOKUP(2,1/(COUNTIF($J$1:J192,$A$2:$A$65)=0),$A$2:$A$65), "G/표준;;"),"")</f>
        <v/>
      </c>
    </row>
    <row r="194" spans="10:10">
      <c r="J194" s="31" t="str">
        <f>IFERROR(TEXT(LOOKUP(2,1/(COUNTIF($J$1:J193,$A$2:$A$65)=0),$A$2:$A$65), "G/표준;;"),"")</f>
        <v/>
      </c>
    </row>
    <row r="195" spans="10:10">
      <c r="J195" s="31" t="str">
        <f>IFERROR(TEXT(LOOKUP(2,1/(COUNTIF($J$1:J194,$A$2:$A$65)=0),$A$2:$A$65), "G/표준;;"),"")</f>
        <v/>
      </c>
    </row>
    <row r="196" spans="10:10">
      <c r="J196" s="31" t="str">
        <f>IFERROR(TEXT(LOOKUP(2,1/(COUNTIF($J$1:J195,$A$2:$A$65)=0),$A$2:$A$65), "G/표준;;"),"")</f>
        <v/>
      </c>
    </row>
    <row r="197" spans="10:10">
      <c r="J197" s="31" t="str">
        <f>IFERROR(TEXT(LOOKUP(2,1/(COUNTIF($J$1:J196,$A$2:$A$65)=0),$A$2:$A$65), "G/표준;;"),"")</f>
        <v/>
      </c>
    </row>
    <row r="198" spans="10:10">
      <c r="J198" s="31" t="str">
        <f>IFERROR(TEXT(LOOKUP(2,1/(COUNTIF($J$1:J197,$A$2:$A$65)=0),$A$2:$A$65), "G/표준;;"),"")</f>
        <v/>
      </c>
    </row>
    <row r="199" spans="10:10">
      <c r="J199" s="31" t="str">
        <f>IFERROR(TEXT(LOOKUP(2,1/(COUNTIF($J$1:J198,$A$2:$A$65)=0),$A$2:$A$65), "G/표준;;"),"")</f>
        <v/>
      </c>
    </row>
    <row r="200" spans="10:10">
      <c r="J200" s="31" t="str">
        <f>IFERROR(TEXT(LOOKUP(2,1/(COUNTIF($J$1:J199,$A$2:$A$65)=0),$A$2:$A$65), "G/표준;;"),"")</f>
        <v/>
      </c>
    </row>
    <row r="201" spans="10:10">
      <c r="J201" s="31" t="str">
        <f>IFERROR(TEXT(LOOKUP(2,1/(COUNTIF($J$1:J200,$A$2:$A$65)=0),$A$2:$A$65), "G/표준;;"),"")</f>
        <v/>
      </c>
    </row>
    <row r="202" spans="10:10">
      <c r="J202" s="31" t="str">
        <f>IFERROR(TEXT(LOOKUP(2,1/(COUNTIF($J$1:J201,$A$2:$A$65)=0),$A$2:$A$65), "G/표준;;"),"")</f>
        <v/>
      </c>
    </row>
    <row r="203" spans="10:10">
      <c r="J203" s="31" t="str">
        <f>IFERROR(TEXT(LOOKUP(2,1/(COUNTIF($J$1:J202,$A$2:$A$65)=0),$A$2:$A$65), "G/표준;;"),"")</f>
        <v/>
      </c>
    </row>
    <row r="204" spans="10:10">
      <c r="J204" s="31" t="str">
        <f>IFERROR(TEXT(LOOKUP(2,1/(COUNTIF($J$1:J203,$A$2:$A$65)=0),$A$2:$A$65), "G/표준;;"),"")</f>
        <v/>
      </c>
    </row>
    <row r="205" spans="10:10">
      <c r="J205" s="31" t="str">
        <f>IFERROR(TEXT(LOOKUP(2,1/(COUNTIF($J$1:J204,$A$2:$A$65)=0),$A$2:$A$65), "G/표준;;"),"")</f>
        <v/>
      </c>
    </row>
    <row r="206" spans="10:10">
      <c r="J206" s="31" t="str">
        <f>IFERROR(TEXT(LOOKUP(2,1/(COUNTIF($J$1:J205,$A$2:$A$65)=0),$A$2:$A$65), "G/표준;;"),"")</f>
        <v/>
      </c>
    </row>
    <row r="207" spans="10:10">
      <c r="J207" s="31" t="str">
        <f>IFERROR(TEXT(LOOKUP(2,1/(COUNTIF($J$1:J206,$A$2:$A$65)=0),$A$2:$A$65), "G/표준;;"),"")</f>
        <v/>
      </c>
    </row>
    <row r="208" spans="10:10">
      <c r="J208" s="31" t="str">
        <f>IFERROR(TEXT(LOOKUP(2,1/(COUNTIF($J$1:J207,$A$2:$A$65)=0),$A$2:$A$65), "G/표준;;"),"")</f>
        <v/>
      </c>
    </row>
    <row r="209" spans="10:10">
      <c r="J209" s="31" t="str">
        <f>IFERROR(TEXT(LOOKUP(2,1/(COUNTIF($J$1:J208,$A$2:$A$65)=0),$A$2:$A$65), "G/표준;;"),"")</f>
        <v/>
      </c>
    </row>
    <row r="210" spans="10:10">
      <c r="J210" s="31" t="str">
        <f>IFERROR(TEXT(LOOKUP(2,1/(COUNTIF($J$1:J209,$A$2:$A$65)=0),$A$2:$A$65), "G/표준;;"),"")</f>
        <v/>
      </c>
    </row>
    <row r="211" spans="10:10">
      <c r="J211" s="31" t="str">
        <f>IFERROR(TEXT(LOOKUP(2,1/(COUNTIF($J$1:J210,$A$2:$A$65)=0),$A$2:$A$65), "G/표준;;"),"")</f>
        <v/>
      </c>
    </row>
    <row r="212" spans="10:10">
      <c r="J212" s="31" t="str">
        <f>IFERROR(TEXT(LOOKUP(2,1/(COUNTIF($J$1:J211,$A$2:$A$65)=0),$A$2:$A$65), "G/표준;;"),"")</f>
        <v/>
      </c>
    </row>
    <row r="213" spans="10:10">
      <c r="J213" s="31" t="str">
        <f>IFERROR(TEXT(LOOKUP(2,1/(COUNTIF($J$1:J212,$A$2:$A$65)=0),$A$2:$A$65), "G/표준;;"),"")</f>
        <v/>
      </c>
    </row>
    <row r="214" spans="10:10">
      <c r="J214" s="31" t="str">
        <f>IFERROR(TEXT(LOOKUP(2,1/(COUNTIF($J$1:J213,$A$2:$A$65)=0),$A$2:$A$65), "G/표준;;"),"")</f>
        <v/>
      </c>
    </row>
    <row r="215" spans="10:10">
      <c r="J215" s="31" t="str">
        <f>IFERROR(TEXT(LOOKUP(2,1/(COUNTIF($J$1:J214,$A$2:$A$65)=0),$A$2:$A$65), "G/표준;;"),"")</f>
        <v/>
      </c>
    </row>
    <row r="216" spans="10:10">
      <c r="J216" s="31" t="str">
        <f>IFERROR(TEXT(LOOKUP(2,1/(COUNTIF($J$1:J215,$A$2:$A$65)=0),$A$2:$A$65), "G/표준;;"),"")</f>
        <v/>
      </c>
    </row>
    <row r="217" spans="10:10">
      <c r="J217" s="31" t="str">
        <f>IFERROR(TEXT(LOOKUP(2,1/(COUNTIF($J$1:J216,$A$2:$A$65)=0),$A$2:$A$65), "G/표준;;"),"")</f>
        <v/>
      </c>
    </row>
    <row r="218" spans="10:10">
      <c r="J218" s="31" t="str">
        <f>IFERROR(TEXT(LOOKUP(2,1/(COUNTIF($J$1:J217,$A$2:$A$65)=0),$A$2:$A$65), "G/표준;;"),"")</f>
        <v/>
      </c>
    </row>
    <row r="219" spans="10:10">
      <c r="J219" s="31" t="str">
        <f>IFERROR(TEXT(LOOKUP(2,1/(COUNTIF($J$1:J218,$A$2:$A$65)=0),$A$2:$A$65), "G/표준;;"),"")</f>
        <v/>
      </c>
    </row>
    <row r="220" spans="10:10">
      <c r="J220" s="31" t="str">
        <f>IFERROR(TEXT(LOOKUP(2,1/(COUNTIF($J$1:J219,$A$2:$A$65)=0),$A$2:$A$65), "G/표준;;"),"")</f>
        <v/>
      </c>
    </row>
    <row r="221" spans="10:10">
      <c r="J221" s="31" t="str">
        <f>IFERROR(TEXT(LOOKUP(2,1/(COUNTIF($J$1:J220,$A$2:$A$65)=0),$A$2:$A$65), "G/표준;;"),"")</f>
        <v/>
      </c>
    </row>
    <row r="222" spans="10:10">
      <c r="J222" s="31" t="str">
        <f>IFERROR(TEXT(LOOKUP(2,1/(COUNTIF($J$1:J221,$A$2:$A$65)=0),$A$2:$A$65), "G/표준;;"),"")</f>
        <v/>
      </c>
    </row>
    <row r="223" spans="10:10">
      <c r="J223" s="31" t="str">
        <f>IFERROR(TEXT(LOOKUP(2,1/(COUNTIF($J$1:J222,$A$2:$A$65)=0),$A$2:$A$65), "G/표준;;"),"")</f>
        <v/>
      </c>
    </row>
    <row r="224" spans="10:10">
      <c r="J224" s="31" t="str">
        <f>IFERROR(TEXT(LOOKUP(2,1/(COUNTIF($J$1:J223,$A$2:$A$65)=0),$A$2:$A$65), "G/표준;;"),"")</f>
        <v/>
      </c>
    </row>
    <row r="225" spans="10:10">
      <c r="J225" s="31" t="str">
        <f>IFERROR(TEXT(LOOKUP(2,1/(COUNTIF($J$1:J224,$A$2:$A$65)=0),$A$2:$A$65), "G/표준;;"),"")</f>
        <v/>
      </c>
    </row>
    <row r="226" spans="10:10">
      <c r="J226" s="31" t="str">
        <f>IFERROR(TEXT(LOOKUP(2,1/(COUNTIF($J$1:J225,$A$2:$A$65)=0),$A$2:$A$65), "G/표준;;"),"")</f>
        <v/>
      </c>
    </row>
    <row r="227" spans="10:10">
      <c r="J227" s="31" t="str">
        <f>IFERROR(TEXT(LOOKUP(2,1/(COUNTIF($J$1:J226,$A$2:$A$65)=0),$A$2:$A$65), "G/표준;;"),"")</f>
        <v/>
      </c>
    </row>
    <row r="228" spans="10:10">
      <c r="J228" s="31" t="str">
        <f>IFERROR(TEXT(LOOKUP(2,1/(COUNTIF($J$1:J227,$A$2:$A$65)=0),$A$2:$A$65), "G/표준;;"),"")</f>
        <v/>
      </c>
    </row>
    <row r="229" spans="10:10">
      <c r="J229" s="31" t="str">
        <f>IFERROR(TEXT(LOOKUP(2,1/(COUNTIF($J$1:J228,$A$2:$A$65)=0),$A$2:$A$65), "G/표준;;"),"")</f>
        <v/>
      </c>
    </row>
    <row r="230" spans="10:10">
      <c r="J230" s="31" t="str">
        <f>IFERROR(TEXT(LOOKUP(2,1/(COUNTIF($J$1:J229,$A$2:$A$65)=0),$A$2:$A$65), "G/표준;;"),"")</f>
        <v/>
      </c>
    </row>
    <row r="231" spans="10:10">
      <c r="J231" s="31" t="str">
        <f>IFERROR(TEXT(LOOKUP(2,1/(COUNTIF($J$1:J230,$A$2:$A$65)=0),$A$2:$A$65), "G/표준;;"),"")</f>
        <v/>
      </c>
    </row>
    <row r="232" spans="10:10">
      <c r="J232" s="31" t="str">
        <f>IFERROR(TEXT(LOOKUP(2,1/(COUNTIF($J$1:J231,$A$2:$A$65)=0),$A$2:$A$65), "G/표준;;"),"")</f>
        <v/>
      </c>
    </row>
    <row r="233" spans="10:10">
      <c r="J233" s="31" t="str">
        <f>IFERROR(TEXT(LOOKUP(2,1/(COUNTIF($J$1:J232,$A$2:$A$65)=0),$A$2:$A$65), "G/표준;;"),"")</f>
        <v/>
      </c>
    </row>
    <row r="234" spans="10:10">
      <c r="J234" s="31" t="str">
        <f>IFERROR(TEXT(LOOKUP(2,1/(COUNTIF($J$1:J233,$A$2:$A$65)=0),$A$2:$A$65), "G/표준;;"),"")</f>
        <v/>
      </c>
    </row>
    <row r="235" spans="10:10">
      <c r="J235" s="31" t="str">
        <f>IFERROR(TEXT(LOOKUP(2,1/(COUNTIF($J$1:J234,$A$2:$A$65)=0),$A$2:$A$65), "G/표준;;"),"")</f>
        <v/>
      </c>
    </row>
    <row r="236" spans="10:10">
      <c r="J236" s="31" t="str">
        <f>IFERROR(TEXT(LOOKUP(2,1/(COUNTIF($J$1:J235,$A$2:$A$65)=0),$A$2:$A$65), "G/표준;;"),"")</f>
        <v/>
      </c>
    </row>
    <row r="237" spans="10:10">
      <c r="J237" s="31" t="str">
        <f>IFERROR(TEXT(LOOKUP(2,1/(COUNTIF($J$1:J236,$A$2:$A$65)=0),$A$2:$A$65), "G/표준;;"),"")</f>
        <v/>
      </c>
    </row>
    <row r="238" spans="10:10">
      <c r="J238" s="31" t="str">
        <f>IFERROR(TEXT(LOOKUP(2,1/(COUNTIF($J$1:J237,$A$2:$A$65)=0),$A$2:$A$65), "G/표준;;"),"")</f>
        <v/>
      </c>
    </row>
    <row r="239" spans="10:10">
      <c r="J239" s="31" t="str">
        <f>IFERROR(TEXT(LOOKUP(2,1/(COUNTIF($J$1:J238,$A$2:$A$65)=0),$A$2:$A$65), "G/표준;;"),"")</f>
        <v/>
      </c>
    </row>
    <row r="240" spans="10:10">
      <c r="J240" s="31" t="str">
        <f>IFERROR(TEXT(LOOKUP(2,1/(COUNTIF($J$1:J239,$A$2:$A$65)=0),$A$2:$A$65), "G/표준;;"),"")</f>
        <v/>
      </c>
    </row>
    <row r="241" spans="10:10">
      <c r="J241" s="31" t="str">
        <f>IFERROR(TEXT(LOOKUP(2,1/(COUNTIF($J$1:J240,$A$2:$A$65)=0),$A$2:$A$65), "G/표준;;"),"")</f>
        <v/>
      </c>
    </row>
    <row r="242" spans="10:10">
      <c r="J242" s="31" t="str">
        <f>IFERROR(TEXT(LOOKUP(2,1/(COUNTIF($J$1:J241,$A$2:$A$65)=0),$A$2:$A$65), "G/표준;;"),"")</f>
        <v/>
      </c>
    </row>
    <row r="243" spans="10:10">
      <c r="J243" s="31" t="str">
        <f>IFERROR(TEXT(LOOKUP(2,1/(COUNTIF($J$1:J242,$A$2:$A$65)=0),$A$2:$A$65), "G/표준;;"),"")</f>
        <v/>
      </c>
    </row>
    <row r="244" spans="10:10">
      <c r="J244" s="31" t="str">
        <f>IFERROR(TEXT(LOOKUP(2,1/(COUNTIF($J$1:J243,$A$2:$A$65)=0),$A$2:$A$65), "G/표준;;"),"")</f>
        <v/>
      </c>
    </row>
    <row r="245" spans="10:10">
      <c r="J245" s="31" t="str">
        <f>IFERROR(TEXT(LOOKUP(2,1/(COUNTIF($J$1:J244,$A$2:$A$65)=0),$A$2:$A$65), "G/표준;;"),"")</f>
        <v/>
      </c>
    </row>
    <row r="246" spans="10:10">
      <c r="J246" s="31" t="str">
        <f>IFERROR(TEXT(LOOKUP(2,1/(COUNTIF($J$1:J245,$A$2:$A$65)=0),$A$2:$A$65), "G/표준;;"),"")</f>
        <v/>
      </c>
    </row>
    <row r="247" spans="10:10">
      <c r="J247" s="31" t="str">
        <f>IFERROR(TEXT(LOOKUP(2,1/(COUNTIF($J$1:J246,$A$2:$A$65)=0),$A$2:$A$65), "G/표준;;"),"")</f>
        <v/>
      </c>
    </row>
    <row r="248" spans="10:10">
      <c r="J248" s="31" t="str">
        <f>IFERROR(TEXT(LOOKUP(2,1/(COUNTIF($J$1:J247,$A$2:$A$65)=0),$A$2:$A$65), "G/표준;;"),"")</f>
        <v/>
      </c>
    </row>
    <row r="249" spans="10:10">
      <c r="J249" s="31" t="str">
        <f>IFERROR(TEXT(LOOKUP(2,1/(COUNTIF($J$1:J248,$A$2:$A$65)=0),$A$2:$A$65), "G/표준;;"),"")</f>
        <v/>
      </c>
    </row>
    <row r="250" spans="10:10">
      <c r="J250" s="31" t="str">
        <f>IFERROR(TEXT(LOOKUP(2,1/(COUNTIF($J$1:J249,$A$2:$A$65)=0),$A$2:$A$65), "G/표준;;"),"")</f>
        <v/>
      </c>
    </row>
    <row r="251" spans="10:10">
      <c r="J251" s="31" t="str">
        <f>IFERROR(TEXT(LOOKUP(2,1/(COUNTIF($J$1:J250,$A$2:$A$65)=0),$A$2:$A$65), "G/표준;;"),"")</f>
        <v/>
      </c>
    </row>
    <row r="252" spans="10:10">
      <c r="J252" s="31" t="str">
        <f>IFERROR(TEXT(LOOKUP(2,1/(COUNTIF($J$1:J251,$A$2:$A$65)=0),$A$2:$A$65), "G/표준;;"),"")</f>
        <v/>
      </c>
    </row>
    <row r="253" spans="10:10">
      <c r="J253" s="31" t="str">
        <f>IFERROR(TEXT(LOOKUP(2,1/(COUNTIF($J$1:J252,$A$2:$A$65)=0),$A$2:$A$65), "G/표준;;"),"")</f>
        <v/>
      </c>
    </row>
    <row r="254" spans="10:10">
      <c r="J254" s="31" t="str">
        <f>IFERROR(TEXT(LOOKUP(2,1/(COUNTIF($J$1:J253,$A$2:$A$65)=0),$A$2:$A$65), "G/표준;;"),"")</f>
        <v/>
      </c>
    </row>
    <row r="255" spans="10:10">
      <c r="J255" s="31" t="str">
        <f>IFERROR(TEXT(LOOKUP(2,1/(COUNTIF($J$1:J254,$A$2:$A$65)=0),$A$2:$A$65), "G/표준;;"),"")</f>
        <v/>
      </c>
    </row>
    <row r="256" spans="10:10">
      <c r="J256" s="31" t="str">
        <f>IFERROR(TEXT(LOOKUP(2,1/(COUNTIF($J$1:J255,$A$2:$A$65)=0),$A$2:$A$65), "G/표준;;"),"")</f>
        <v/>
      </c>
    </row>
    <row r="257" spans="10:10">
      <c r="J257" s="31" t="str">
        <f>IFERROR(TEXT(LOOKUP(2,1/(COUNTIF($J$1:J256,$A$2:$A$65)=0),$A$2:$A$65), "G/표준;;"),"")</f>
        <v/>
      </c>
    </row>
    <row r="258" spans="10:10">
      <c r="J258" s="31" t="str">
        <f>IFERROR(TEXT(LOOKUP(2,1/(COUNTIF($J$1:J257,$A$2:$A$65)=0),$A$2:$A$65), "G/표준;;"),"")</f>
        <v/>
      </c>
    </row>
    <row r="259" spans="10:10">
      <c r="J259" s="31" t="str">
        <f>IFERROR(TEXT(LOOKUP(2,1/(COUNTIF($J$1:J258,$A$2:$A$65)=0),$A$2:$A$65), "G/표준;;"),"")</f>
        <v/>
      </c>
    </row>
    <row r="260" spans="10:10">
      <c r="J260" s="31" t="str">
        <f>IFERROR(TEXT(LOOKUP(2,1/(COUNTIF($J$1:J259,$A$2:$A$65)=0),$A$2:$A$65), "G/표준;;"),"")</f>
        <v/>
      </c>
    </row>
    <row r="261" spans="10:10">
      <c r="J261" s="31" t="str">
        <f>IFERROR(TEXT(LOOKUP(2,1/(COUNTIF($J$1:J260,$A$2:$A$65)=0),$A$2:$A$65), "G/표준;;"),"")</f>
        <v/>
      </c>
    </row>
    <row r="262" spans="10:10">
      <c r="J262" s="31" t="str">
        <f>IFERROR(TEXT(LOOKUP(2,1/(COUNTIF($J$1:J261,$A$2:$A$65)=0),$A$2:$A$65), "G/표준;;"),"")</f>
        <v/>
      </c>
    </row>
    <row r="263" spans="10:10">
      <c r="J263" s="31" t="str">
        <f>IFERROR(TEXT(LOOKUP(2,1/(COUNTIF($J$1:J262,$A$2:$A$65)=0),$A$2:$A$65), "G/표준;;"),"")</f>
        <v/>
      </c>
    </row>
    <row r="264" spans="10:10">
      <c r="J264" s="31" t="str">
        <f>IFERROR(TEXT(LOOKUP(2,1/(COUNTIF($J$1:J263,$A$2:$A$65)=0),$A$2:$A$65), "G/표준;;"),"")</f>
        <v/>
      </c>
    </row>
    <row r="265" spans="10:10">
      <c r="J265" s="31" t="str">
        <f>IFERROR(TEXT(LOOKUP(2,1/(COUNTIF($J$1:J264,$A$2:$A$65)=0),$A$2:$A$65), "G/표준;;"),"")</f>
        <v/>
      </c>
    </row>
    <row r="266" spans="10:10">
      <c r="J266" s="31" t="str">
        <f>IFERROR(TEXT(LOOKUP(2,1/(COUNTIF($J$1:J265,$A$2:$A$65)=0),$A$2:$A$65), "G/표준;;"),"")</f>
        <v/>
      </c>
    </row>
    <row r="267" spans="10:10">
      <c r="J267" s="31" t="str">
        <f>IFERROR(TEXT(LOOKUP(2,1/(COUNTIF($J$1:J266,$A$2:$A$65)=0),$A$2:$A$65), "G/표준;;"),"")</f>
        <v/>
      </c>
    </row>
    <row r="268" spans="10:10">
      <c r="J268" s="31" t="str">
        <f>IFERROR(TEXT(LOOKUP(2,1/(COUNTIF($J$1:J267,$A$2:$A$65)=0),$A$2:$A$65), "G/표준;;"),"")</f>
        <v/>
      </c>
    </row>
    <row r="269" spans="10:10">
      <c r="J269" s="31" t="str">
        <f>IFERROR(TEXT(LOOKUP(2,1/(COUNTIF($J$1:J268,$A$2:$A$65)=0),$A$2:$A$65), "G/표준;;"),"")</f>
        <v/>
      </c>
    </row>
    <row r="270" spans="10:10">
      <c r="J270" s="31" t="str">
        <f>IFERROR(TEXT(LOOKUP(2,1/(COUNTIF($J$1:J269,$A$2:$A$65)=0),$A$2:$A$65), "G/표준;;"),"")</f>
        <v/>
      </c>
    </row>
    <row r="271" spans="10:10">
      <c r="J271" s="31" t="str">
        <f>IFERROR(TEXT(LOOKUP(2,1/(COUNTIF($J$1:J270,$A$2:$A$65)=0),$A$2:$A$65), "G/표준;;"),"")</f>
        <v/>
      </c>
    </row>
    <row r="272" spans="10:10">
      <c r="J272" s="31" t="str">
        <f>IFERROR(TEXT(LOOKUP(2,1/(COUNTIF($J$1:J271,$A$2:$A$65)=0),$A$2:$A$65), "G/표준;;"),"")</f>
        <v/>
      </c>
    </row>
    <row r="273" spans="10:10">
      <c r="J273" s="31" t="str">
        <f>IFERROR(TEXT(LOOKUP(2,1/(COUNTIF($J$1:J272,$A$2:$A$65)=0),$A$2:$A$65), "G/표준;;"),"")</f>
        <v/>
      </c>
    </row>
    <row r="274" spans="10:10">
      <c r="J274" s="31" t="str">
        <f>IFERROR(TEXT(LOOKUP(2,1/(COUNTIF($J$1:J273,$A$2:$A$65)=0),$A$2:$A$65), "G/표준;;"),"")</f>
        <v/>
      </c>
    </row>
    <row r="275" spans="10:10">
      <c r="J275" s="31" t="str">
        <f>IFERROR(TEXT(LOOKUP(2,1/(COUNTIF($J$1:J274,$A$2:$A$65)=0),$A$2:$A$65), "G/표준;;"),"")</f>
        <v/>
      </c>
    </row>
    <row r="276" spans="10:10">
      <c r="J276" s="31" t="str">
        <f>IFERROR(TEXT(LOOKUP(2,1/(COUNTIF($J$1:J275,$A$2:$A$65)=0),$A$2:$A$65), "G/표준;;"),"")</f>
        <v/>
      </c>
    </row>
    <row r="277" spans="10:10">
      <c r="J277" s="31" t="str">
        <f>IFERROR(TEXT(LOOKUP(2,1/(COUNTIF($J$1:J276,$A$2:$A$65)=0),$A$2:$A$65), "G/표준;;"),"")</f>
        <v/>
      </c>
    </row>
    <row r="278" spans="10:10">
      <c r="J278" s="31" t="str">
        <f>IFERROR(TEXT(LOOKUP(2,1/(COUNTIF($J$1:J277,$A$2:$A$65)=0),$A$2:$A$65), "G/표준;;"),"")</f>
        <v/>
      </c>
    </row>
    <row r="279" spans="10:10">
      <c r="J279" s="31" t="str">
        <f>IFERROR(TEXT(LOOKUP(2,1/(COUNTIF($J$1:J278,$A$2:$A$65)=0),$A$2:$A$65), "G/표준;;"),"")</f>
        <v/>
      </c>
    </row>
    <row r="280" spans="10:10">
      <c r="J280" s="31" t="str">
        <f>IFERROR(TEXT(LOOKUP(2,1/(COUNTIF($J$1:J279,$A$2:$A$65)=0),$A$2:$A$65), "G/표준;;"),"")</f>
        <v/>
      </c>
    </row>
    <row r="281" spans="10:10">
      <c r="J281" s="31" t="str">
        <f>IFERROR(TEXT(LOOKUP(2,1/(COUNTIF($J$1:J280,$A$2:$A$65)=0),$A$2:$A$65), "G/표준;;"),"")</f>
        <v/>
      </c>
    </row>
    <row r="282" spans="10:10">
      <c r="J282" s="31" t="str">
        <f>IFERROR(TEXT(LOOKUP(2,1/(COUNTIF($J$1:J281,$A$2:$A$65)=0),$A$2:$A$65), "G/표준;;"),"")</f>
        <v/>
      </c>
    </row>
    <row r="283" spans="10:10">
      <c r="J283" s="31" t="str">
        <f>IFERROR(TEXT(LOOKUP(2,1/(COUNTIF($J$1:J282,$A$2:$A$65)=0),$A$2:$A$65), "G/표준;;"),"")</f>
        <v/>
      </c>
    </row>
    <row r="284" spans="10:10">
      <c r="J284" s="31" t="str">
        <f>IFERROR(TEXT(LOOKUP(2,1/(COUNTIF($J$1:J283,$A$2:$A$65)=0),$A$2:$A$65), "G/표준;;"),"")</f>
        <v/>
      </c>
    </row>
    <row r="285" spans="10:10">
      <c r="J285" s="31" t="str">
        <f>IFERROR(TEXT(LOOKUP(2,1/(COUNTIF($J$1:J284,$A$2:$A$65)=0),$A$2:$A$65), "G/표준;;"),"")</f>
        <v/>
      </c>
    </row>
    <row r="286" spans="10:10">
      <c r="J286" s="31" t="str">
        <f>IFERROR(TEXT(LOOKUP(2,1/(COUNTIF($J$1:J285,$A$2:$A$65)=0),$A$2:$A$65), "G/표준;;"),"")</f>
        <v/>
      </c>
    </row>
    <row r="287" spans="10:10">
      <c r="J287" s="31" t="str">
        <f>IFERROR(TEXT(LOOKUP(2,1/(COUNTIF($J$1:J286,$A$2:$A$65)=0),$A$2:$A$65), "G/표준;;"),"")</f>
        <v/>
      </c>
    </row>
    <row r="288" spans="10:10">
      <c r="J288" s="31" t="str">
        <f>IFERROR(TEXT(LOOKUP(2,1/(COUNTIF($J$1:J287,$A$2:$A$65)=0),$A$2:$A$65), "G/표준;;"),"")</f>
        <v/>
      </c>
    </row>
    <row r="289" spans="10:10">
      <c r="J289" s="31" t="str">
        <f>IFERROR(TEXT(LOOKUP(2,1/(COUNTIF($J$1:J288,$A$2:$A$65)=0),$A$2:$A$65), "G/표준;;"),"")</f>
        <v/>
      </c>
    </row>
    <row r="290" spans="10:10">
      <c r="J290" s="31" t="str">
        <f>IFERROR(TEXT(LOOKUP(2,1/(COUNTIF($J$1:J289,$A$2:$A$65)=0),$A$2:$A$65), "G/표준;;"),"")</f>
        <v/>
      </c>
    </row>
    <row r="291" spans="10:10">
      <c r="J291" s="31" t="str">
        <f>IFERROR(TEXT(LOOKUP(2,1/(COUNTIF($J$1:J290,$A$2:$A$65)=0),$A$2:$A$65), "G/표준;;"),"")</f>
        <v/>
      </c>
    </row>
    <row r="292" spans="10:10">
      <c r="J292" s="31" t="str">
        <f>IFERROR(TEXT(LOOKUP(2,1/(COUNTIF($J$1:J291,$A$2:$A$65)=0),$A$2:$A$65), "G/표준;;"),"")</f>
        <v/>
      </c>
    </row>
    <row r="293" spans="10:10">
      <c r="J293" s="31" t="str">
        <f>IFERROR(TEXT(LOOKUP(2,1/(COUNTIF($J$1:J292,$A$2:$A$65)=0),$A$2:$A$65), "G/표준;;"),"")</f>
        <v/>
      </c>
    </row>
    <row r="294" spans="10:10">
      <c r="J294" s="31" t="str">
        <f>IFERROR(TEXT(LOOKUP(2,1/(COUNTIF($J$1:J293,$A$2:$A$65)=0),$A$2:$A$65), "G/표준;;"),"")</f>
        <v/>
      </c>
    </row>
    <row r="295" spans="10:10">
      <c r="J295" s="31" t="str">
        <f>IFERROR(TEXT(LOOKUP(2,1/(COUNTIF($J$1:J294,$A$2:$A$65)=0),$A$2:$A$65), "G/표준;;"),"")</f>
        <v/>
      </c>
    </row>
    <row r="296" spans="10:10">
      <c r="J296" s="31" t="str">
        <f>IFERROR(TEXT(LOOKUP(2,1/(COUNTIF($J$1:J295,$A$2:$A$65)=0),$A$2:$A$65), "G/표준;;"),"")</f>
        <v/>
      </c>
    </row>
    <row r="297" spans="10:10">
      <c r="J297" s="31" t="str">
        <f>IFERROR(TEXT(LOOKUP(2,1/(COUNTIF($J$1:J296,$A$2:$A$65)=0),$A$2:$A$65), "G/표준;;"),"")</f>
        <v/>
      </c>
    </row>
    <row r="298" spans="10:10">
      <c r="J298" s="31" t="str">
        <f>IFERROR(TEXT(LOOKUP(2,1/(COUNTIF($J$1:J297,$A$2:$A$65)=0),$A$2:$A$65), "G/표준;;"),"")</f>
        <v/>
      </c>
    </row>
    <row r="299" spans="10:10">
      <c r="J299" s="31" t="str">
        <f>IFERROR(TEXT(LOOKUP(2,1/(COUNTIF($J$1:J298,$A$2:$A$65)=0),$A$2:$A$65), "G/표준;;"),"")</f>
        <v/>
      </c>
    </row>
    <row r="300" spans="10:10">
      <c r="J300" s="31" t="str">
        <f>IFERROR(TEXT(LOOKUP(2,1/(COUNTIF($J$1:J299,$A$2:$A$65)=0),$A$2:$A$65), "G/표준;;"),"")</f>
        <v/>
      </c>
    </row>
    <row r="301" spans="10:10">
      <c r="J301" s="31" t="str">
        <f>IFERROR(TEXT(LOOKUP(2,1/(COUNTIF($J$1:J300,$A$2:$A$65)=0),$A$2:$A$65), "G/표준;;"),"")</f>
        <v/>
      </c>
    </row>
    <row r="302" spans="10:10">
      <c r="J302" s="31" t="str">
        <f>IFERROR(TEXT(LOOKUP(2,1/(COUNTIF($J$1:J301,$A$2:$A$65)=0),$A$2:$A$65), "G/표준;;"),"")</f>
        <v/>
      </c>
    </row>
    <row r="303" spans="10:10">
      <c r="J303" s="31" t="str">
        <f>IFERROR(TEXT(LOOKUP(2,1/(COUNTIF($J$1:J302,$A$2:$A$65)=0),$A$2:$A$65), "G/표준;;"),"")</f>
        <v/>
      </c>
    </row>
    <row r="304" spans="10:10">
      <c r="J304" s="31" t="str">
        <f>IFERROR(TEXT(LOOKUP(2,1/(COUNTIF($J$1:J303,$A$2:$A$65)=0),$A$2:$A$65), "G/표준;;"),"")</f>
        <v/>
      </c>
    </row>
    <row r="305" spans="10:10">
      <c r="J305" s="31" t="str">
        <f>IFERROR(TEXT(LOOKUP(2,1/(COUNTIF($J$1:J304,$A$2:$A$65)=0),$A$2:$A$65), "G/표준;;"),"")</f>
        <v/>
      </c>
    </row>
    <row r="306" spans="10:10">
      <c r="J306" s="31" t="str">
        <f>IFERROR(TEXT(LOOKUP(2,1/(COUNTIF($J$1:J305,$A$2:$A$65)=0),$A$2:$A$65), "G/표준;;"),"")</f>
        <v/>
      </c>
    </row>
    <row r="307" spans="10:10">
      <c r="J307" s="31" t="str">
        <f>IFERROR(TEXT(LOOKUP(2,1/(COUNTIF($J$1:J306,$A$2:$A$65)=0),$A$2:$A$65), "G/표준;;"),"")</f>
        <v/>
      </c>
    </row>
    <row r="308" spans="10:10">
      <c r="J308" s="31" t="str">
        <f>IFERROR(TEXT(LOOKUP(2,1/(COUNTIF($J$1:J307,$A$2:$A$65)=0),$A$2:$A$65), "G/표준;;"),"")</f>
        <v/>
      </c>
    </row>
    <row r="309" spans="10:10">
      <c r="J309" s="31" t="str">
        <f>IFERROR(TEXT(LOOKUP(2,1/(COUNTIF($J$1:J308,$A$2:$A$65)=0),$A$2:$A$65), "G/표준;;"),"")</f>
        <v/>
      </c>
    </row>
    <row r="310" spans="10:10">
      <c r="J310" s="31" t="str">
        <f>IFERROR(TEXT(LOOKUP(2,1/(COUNTIF($J$1:J309,$A$2:$A$65)=0),$A$2:$A$65), "G/표준;;"),"")</f>
        <v/>
      </c>
    </row>
    <row r="311" spans="10:10">
      <c r="J311" s="31" t="str">
        <f>IFERROR(TEXT(LOOKUP(2,1/(COUNTIF($J$1:J310,$A$2:$A$65)=0),$A$2:$A$65), "G/표준;;"),"")</f>
        <v/>
      </c>
    </row>
    <row r="312" spans="10:10">
      <c r="J312" s="31" t="str">
        <f>IFERROR(TEXT(LOOKUP(2,1/(COUNTIF($J$1:J311,$A$2:$A$65)=0),$A$2:$A$65), "G/표준;;"),"")</f>
        <v/>
      </c>
    </row>
    <row r="313" spans="10:10">
      <c r="J313" s="31" t="str">
        <f>IFERROR(TEXT(LOOKUP(2,1/(COUNTIF($J$1:J312,$A$2:$A$65)=0),$A$2:$A$65), "G/표준;;"),"")</f>
        <v/>
      </c>
    </row>
    <row r="314" spans="10:10">
      <c r="J314" s="31" t="str">
        <f>IFERROR(TEXT(LOOKUP(2,1/(COUNTIF($J$1:J313,$A$2:$A$65)=0),$A$2:$A$65), "G/표준;;"),"")</f>
        <v/>
      </c>
    </row>
    <row r="315" spans="10:10">
      <c r="J315" s="31" t="str">
        <f>IFERROR(TEXT(LOOKUP(2,1/(COUNTIF($J$1:J314,$A$2:$A$65)=0),$A$2:$A$65), "G/표준;;"),"")</f>
        <v/>
      </c>
    </row>
    <row r="316" spans="10:10">
      <c r="J316" s="31" t="str">
        <f>IFERROR(TEXT(LOOKUP(2,1/(COUNTIF($J$1:J315,$A$2:$A$65)=0),$A$2:$A$65), "G/표준;;"),"")</f>
        <v/>
      </c>
    </row>
    <row r="317" spans="10:10">
      <c r="J317" s="31" t="str">
        <f>IFERROR(TEXT(LOOKUP(2,1/(COUNTIF($J$1:J316,$A$2:$A$65)=0),$A$2:$A$65), "G/표준;;"),"")</f>
        <v/>
      </c>
    </row>
    <row r="318" spans="10:10">
      <c r="J318" s="31" t="str">
        <f>IFERROR(TEXT(LOOKUP(2,1/(COUNTIF($J$1:J317,$A$2:$A$65)=0),$A$2:$A$65), "G/표준;;"),"")</f>
        <v/>
      </c>
    </row>
    <row r="319" spans="10:10">
      <c r="J319" s="31" t="str">
        <f>IFERROR(TEXT(LOOKUP(2,1/(COUNTIF($J$1:J318,$A$2:$A$65)=0),$A$2:$A$65), "G/표준;;"),"")</f>
        <v/>
      </c>
    </row>
    <row r="320" spans="10:10">
      <c r="J320" s="31" t="str">
        <f>IFERROR(TEXT(LOOKUP(2,1/(COUNTIF($J$1:J319,$A$2:$A$65)=0),$A$2:$A$65), "G/표준;;"),"")</f>
        <v/>
      </c>
    </row>
    <row r="321" spans="10:10">
      <c r="J321" s="31" t="str">
        <f>IFERROR(TEXT(LOOKUP(2,1/(COUNTIF($J$1:J320,$A$2:$A$65)=0),$A$2:$A$65), "G/표준;;"),"")</f>
        <v/>
      </c>
    </row>
    <row r="322" spans="10:10">
      <c r="J322" s="31" t="str">
        <f>IFERROR(TEXT(LOOKUP(2,1/(COUNTIF($J$1:J321,$A$2:$A$65)=0),$A$2:$A$65), "G/표준;;"),"")</f>
        <v/>
      </c>
    </row>
    <row r="323" spans="10:10">
      <c r="J323" s="31" t="str">
        <f>IFERROR(TEXT(LOOKUP(2,1/(COUNTIF($J$1:J322,$A$2:$A$65)=0),$A$2:$A$65), "G/표준;;"),"")</f>
        <v/>
      </c>
    </row>
    <row r="324" spans="10:10">
      <c r="J324" s="31" t="str">
        <f>IFERROR(TEXT(LOOKUP(2,1/(COUNTIF($J$1:J323,$A$2:$A$65)=0),$A$2:$A$65), "G/표준;;"),"")</f>
        <v/>
      </c>
    </row>
    <row r="325" spans="10:10">
      <c r="J325" s="31" t="str">
        <f>IFERROR(TEXT(LOOKUP(2,1/(COUNTIF($J$1:J324,$A$2:$A$65)=0),$A$2:$A$65), "G/표준;;"),"")</f>
        <v/>
      </c>
    </row>
    <row r="326" spans="10:10">
      <c r="J326" s="31" t="str">
        <f>IFERROR(TEXT(LOOKUP(2,1/(COUNTIF($J$1:J325,$A$2:$A$65)=0),$A$2:$A$65), "G/표준;;"),"")</f>
        <v/>
      </c>
    </row>
    <row r="327" spans="10:10">
      <c r="J327" s="31" t="str">
        <f>IFERROR(TEXT(LOOKUP(2,1/(COUNTIF($J$1:J326,$A$2:$A$65)=0),$A$2:$A$65), "G/표준;;"),"")</f>
        <v/>
      </c>
    </row>
    <row r="328" spans="10:10">
      <c r="J328" s="31" t="str">
        <f>IFERROR(TEXT(LOOKUP(2,1/(COUNTIF($J$1:J327,$A$2:$A$65)=0),$A$2:$A$65), "G/표준;;"),"")</f>
        <v/>
      </c>
    </row>
    <row r="329" spans="10:10">
      <c r="J329" s="31" t="str">
        <f>IFERROR(TEXT(LOOKUP(2,1/(COUNTIF($J$1:J328,$A$2:$A$65)=0),$A$2:$A$65), "G/표준;;"),"")</f>
        <v/>
      </c>
    </row>
    <row r="330" spans="10:10">
      <c r="J330" s="31" t="str">
        <f>IFERROR(TEXT(LOOKUP(2,1/(COUNTIF($J$1:J329,$A$2:$A$65)=0),$A$2:$A$65), "G/표준;;"),"")</f>
        <v/>
      </c>
    </row>
    <row r="331" spans="10:10">
      <c r="J331" s="31" t="str">
        <f>IFERROR(TEXT(LOOKUP(2,1/(COUNTIF($J$1:J330,$A$2:$A$65)=0),$A$2:$A$65), "G/표준;;"),"")</f>
        <v/>
      </c>
    </row>
    <row r="332" spans="10:10">
      <c r="J332" s="31" t="str">
        <f>IFERROR(TEXT(LOOKUP(2,1/(COUNTIF($J$1:J331,$A$2:$A$65)=0),$A$2:$A$65), "G/표준;;"),"")</f>
        <v/>
      </c>
    </row>
    <row r="333" spans="10:10">
      <c r="J333" s="31" t="str">
        <f>IFERROR(TEXT(LOOKUP(2,1/(COUNTIF($J$1:J332,$A$2:$A$65)=0),$A$2:$A$65), "G/표준;;"),"")</f>
        <v/>
      </c>
    </row>
    <row r="334" spans="10:10">
      <c r="J334" s="31" t="str">
        <f>IFERROR(TEXT(LOOKUP(2,1/(COUNTIF($J$1:J333,$A$2:$A$65)=0),$A$2:$A$65), "G/표준;;"),"")</f>
        <v/>
      </c>
    </row>
    <row r="335" spans="10:10">
      <c r="J335" s="31" t="str">
        <f>IFERROR(TEXT(LOOKUP(2,1/(COUNTIF($J$1:J334,$A$2:$A$65)=0),$A$2:$A$65), "G/표준;;"),"")</f>
        <v/>
      </c>
    </row>
    <row r="336" spans="10:10">
      <c r="J336" s="31" t="str">
        <f>IFERROR(TEXT(LOOKUP(2,1/(COUNTIF($J$1:J335,$A$2:$A$65)=0),$A$2:$A$65), "G/표준;;"),"")</f>
        <v/>
      </c>
    </row>
    <row r="337" spans="10:10">
      <c r="J337" s="31" t="str">
        <f>IFERROR(TEXT(LOOKUP(2,1/(COUNTIF($J$1:J336,$A$2:$A$65)=0),$A$2:$A$65), "G/표준;;"),"")</f>
        <v/>
      </c>
    </row>
    <row r="338" spans="10:10">
      <c r="J338" s="31" t="str">
        <f>IFERROR(TEXT(LOOKUP(2,1/(COUNTIF($J$1:J337,$A$2:$A$65)=0),$A$2:$A$65), "G/표준;;"),"")</f>
        <v/>
      </c>
    </row>
    <row r="339" spans="10:10">
      <c r="J339" s="31" t="str">
        <f>IFERROR(TEXT(LOOKUP(2,1/(COUNTIF($J$1:J338,$A$2:$A$65)=0),$A$2:$A$65), "G/표준;;"),"")</f>
        <v/>
      </c>
    </row>
    <row r="340" spans="10:10">
      <c r="J340" s="31" t="str">
        <f>IFERROR(TEXT(LOOKUP(2,1/(COUNTIF($J$1:J339,$A$2:$A$65)=0),$A$2:$A$65), "G/표준;;"),"")</f>
        <v/>
      </c>
    </row>
    <row r="341" spans="10:10">
      <c r="J341" s="31" t="str">
        <f>IFERROR(TEXT(LOOKUP(2,1/(COUNTIF($J$1:J340,$A$2:$A$65)=0),$A$2:$A$65), "G/표준;;"),"")</f>
        <v/>
      </c>
    </row>
    <row r="342" spans="10:10">
      <c r="J342" s="31" t="str">
        <f>IFERROR(TEXT(LOOKUP(2,1/(COUNTIF($J$1:J341,$A$2:$A$65)=0),$A$2:$A$65), "G/표준;;"),"")</f>
        <v/>
      </c>
    </row>
    <row r="343" spans="10:10">
      <c r="J343" s="31" t="str">
        <f>IFERROR(TEXT(LOOKUP(2,1/(COUNTIF($J$1:J342,$A$2:$A$65)=0),$A$2:$A$65), "G/표준;;"),"")</f>
        <v/>
      </c>
    </row>
    <row r="344" spans="10:10">
      <c r="J344" s="31" t="str">
        <f>IFERROR(TEXT(LOOKUP(2,1/(COUNTIF($J$1:J343,$A$2:$A$65)=0),$A$2:$A$65), "G/표준;;"),"")</f>
        <v/>
      </c>
    </row>
    <row r="345" spans="10:10">
      <c r="J345" s="31" t="str">
        <f>IFERROR(TEXT(LOOKUP(2,1/(COUNTIF($J$1:J344,$A$2:$A$65)=0),$A$2:$A$65), "G/표준;;"),"")</f>
        <v/>
      </c>
    </row>
    <row r="346" spans="10:10">
      <c r="J346" s="31" t="str">
        <f>IFERROR(TEXT(LOOKUP(2,1/(COUNTIF($J$1:J345,$A$2:$A$65)=0),$A$2:$A$65), "G/표준;;"),"")</f>
        <v/>
      </c>
    </row>
    <row r="347" spans="10:10">
      <c r="J347" s="31" t="str">
        <f>IFERROR(TEXT(LOOKUP(2,1/(COUNTIF($J$1:J346,$A$2:$A$65)=0),$A$2:$A$65), "G/표준;;"),"")</f>
        <v/>
      </c>
    </row>
    <row r="348" spans="10:10">
      <c r="J348" s="31" t="str">
        <f>IFERROR(TEXT(LOOKUP(2,1/(COUNTIF($J$1:J347,$A$2:$A$65)=0),$A$2:$A$65), "G/표준;;"),"")</f>
        <v/>
      </c>
    </row>
    <row r="349" spans="10:10">
      <c r="J349" s="31" t="str">
        <f>IFERROR(TEXT(LOOKUP(2,1/(COUNTIF($J$1:J348,$A$2:$A$65)=0),$A$2:$A$65), "G/표준;;"),"")</f>
        <v/>
      </c>
    </row>
    <row r="350" spans="10:10">
      <c r="J350" s="31" t="str">
        <f>IFERROR(TEXT(LOOKUP(2,1/(COUNTIF($J$1:J349,$A$2:$A$65)=0),$A$2:$A$65), "G/표준;;"),"")</f>
        <v/>
      </c>
    </row>
    <row r="351" spans="10:10">
      <c r="J351" s="31" t="str">
        <f>IFERROR(TEXT(LOOKUP(2,1/(COUNTIF($J$1:J350,$A$2:$A$65)=0),$A$2:$A$65), "G/표준;;"),"")</f>
        <v/>
      </c>
    </row>
    <row r="352" spans="10:10">
      <c r="J352" s="31" t="str">
        <f>IFERROR(TEXT(LOOKUP(2,1/(COUNTIF($J$1:J351,$A$2:$A$65)=0),$A$2:$A$65), "G/표준;;"),"")</f>
        <v/>
      </c>
    </row>
    <row r="353" spans="10:10">
      <c r="J353" s="31" t="str">
        <f>IFERROR(TEXT(LOOKUP(2,1/(COUNTIF($J$1:J352,$A$2:$A$65)=0),$A$2:$A$65), "G/표준;;"),"")</f>
        <v/>
      </c>
    </row>
    <row r="354" spans="10:10">
      <c r="J354" s="31" t="str">
        <f>IFERROR(TEXT(LOOKUP(2,1/(COUNTIF($J$1:J353,$A$2:$A$65)=0),$A$2:$A$65), "G/표준;;"),"")</f>
        <v/>
      </c>
    </row>
    <row r="355" spans="10:10">
      <c r="J355" s="31" t="str">
        <f>IFERROR(TEXT(LOOKUP(2,1/(COUNTIF($J$1:J354,$A$2:$A$65)=0),$A$2:$A$65), "G/표준;;"),"")</f>
        <v/>
      </c>
    </row>
    <row r="356" spans="10:10">
      <c r="J356" s="31" t="str">
        <f>IFERROR(TEXT(LOOKUP(2,1/(COUNTIF($J$1:J355,$A$2:$A$65)=0),$A$2:$A$65), "G/표준;;"),"")</f>
        <v/>
      </c>
    </row>
    <row r="357" spans="10:10">
      <c r="J357" s="31" t="str">
        <f>IFERROR(TEXT(LOOKUP(2,1/(COUNTIF($J$1:J356,$A$2:$A$65)=0),$A$2:$A$65), "G/표준;;"),"")</f>
        <v/>
      </c>
    </row>
    <row r="358" spans="10:10">
      <c r="J358" s="31" t="str">
        <f>IFERROR(TEXT(LOOKUP(2,1/(COUNTIF($J$1:J357,$A$2:$A$65)=0),$A$2:$A$65), "G/표준;;"),"")</f>
        <v/>
      </c>
    </row>
    <row r="359" spans="10:10">
      <c r="J359" s="31" t="str">
        <f>IFERROR(TEXT(LOOKUP(2,1/(COUNTIF($J$1:J358,$A$2:$A$65)=0),$A$2:$A$65), "G/표준;;"),"")</f>
        <v/>
      </c>
    </row>
    <row r="360" spans="10:10">
      <c r="J360" s="31" t="str">
        <f>IFERROR(TEXT(LOOKUP(2,1/(COUNTIF($J$1:J359,$A$2:$A$65)=0),$A$2:$A$65), "G/표준;;"),"")</f>
        <v/>
      </c>
    </row>
    <row r="361" spans="10:10">
      <c r="J361" s="31" t="str">
        <f>IFERROR(TEXT(LOOKUP(2,1/(COUNTIF($J$1:J360,$A$2:$A$65)=0),$A$2:$A$65), "G/표준;;"),"")</f>
        <v/>
      </c>
    </row>
    <row r="362" spans="10:10">
      <c r="J362" s="31" t="str">
        <f>IFERROR(TEXT(LOOKUP(2,1/(COUNTIF($J$1:J361,$A$2:$A$65)=0),$A$2:$A$65), "G/표준;;"),"")</f>
        <v/>
      </c>
    </row>
    <row r="363" spans="10:10">
      <c r="J363" s="31" t="str">
        <f>IFERROR(TEXT(LOOKUP(2,1/(COUNTIF($J$1:J362,$A$2:$A$65)=0),$A$2:$A$65), "G/표준;;"),"")</f>
        <v/>
      </c>
    </row>
    <row r="364" spans="10:10">
      <c r="J364" s="31" t="str">
        <f>IFERROR(TEXT(LOOKUP(2,1/(COUNTIF($J$1:J363,$A$2:$A$65)=0),$A$2:$A$65), "G/표준;;"),"")</f>
        <v/>
      </c>
    </row>
    <row r="365" spans="10:10">
      <c r="J365" s="31" t="str">
        <f>IFERROR(TEXT(LOOKUP(2,1/(COUNTIF($J$1:J364,$A$2:$A$65)=0),$A$2:$A$65), "G/표준;;"),"")</f>
        <v/>
      </c>
    </row>
    <row r="366" spans="10:10">
      <c r="J366" s="31" t="str">
        <f>IFERROR(TEXT(LOOKUP(2,1/(COUNTIF($J$1:J365,$A$2:$A$65)=0),$A$2:$A$65), "G/표준;;"),"")</f>
        <v/>
      </c>
    </row>
    <row r="367" spans="10:10">
      <c r="J367" s="31" t="str">
        <f>IFERROR(TEXT(LOOKUP(2,1/(COUNTIF($J$1:J366,$A$2:$A$65)=0),$A$2:$A$65), "G/표준;;"),"")</f>
        <v/>
      </c>
    </row>
    <row r="368" spans="10:10">
      <c r="J368" s="31" t="str">
        <f>IFERROR(TEXT(LOOKUP(2,1/(COUNTIF($J$1:J367,$A$2:$A$65)=0),$A$2:$A$65), "G/표준;;"),"")</f>
        <v/>
      </c>
    </row>
    <row r="369" spans="10:10">
      <c r="J369" s="31" t="str">
        <f>IFERROR(TEXT(LOOKUP(2,1/(COUNTIF($J$1:J368,$A$2:$A$65)=0),$A$2:$A$65), "G/표준;;"),"")</f>
        <v/>
      </c>
    </row>
    <row r="370" spans="10:10">
      <c r="J370" s="31" t="str">
        <f>IFERROR(TEXT(LOOKUP(2,1/(COUNTIF($J$1:J369,$A$2:$A$65)=0),$A$2:$A$65), "G/표준;;"),"")</f>
        <v/>
      </c>
    </row>
    <row r="371" spans="10:10">
      <c r="J371" s="31" t="str">
        <f>IFERROR(TEXT(LOOKUP(2,1/(COUNTIF($J$1:J370,$A$2:$A$65)=0),$A$2:$A$65), "G/표준;;"),"")</f>
        <v/>
      </c>
    </row>
    <row r="372" spans="10:10">
      <c r="J372" s="31" t="str">
        <f>IFERROR(TEXT(LOOKUP(2,1/(COUNTIF($J$1:J371,$A$2:$A$65)=0),$A$2:$A$65), "G/표준;;"),"")</f>
        <v/>
      </c>
    </row>
    <row r="373" spans="10:10">
      <c r="J373" s="31" t="str">
        <f>IFERROR(TEXT(LOOKUP(2,1/(COUNTIF($J$1:J372,$A$2:$A$65)=0),$A$2:$A$65), "G/표준;;"),"")</f>
        <v/>
      </c>
    </row>
    <row r="374" spans="10:10">
      <c r="J374" s="31" t="str">
        <f>IFERROR(TEXT(LOOKUP(2,1/(COUNTIF($J$1:J373,$A$2:$A$65)=0),$A$2:$A$65), "G/표준;;"),"")</f>
        <v/>
      </c>
    </row>
    <row r="375" spans="10:10">
      <c r="J375" s="31" t="str">
        <f>IFERROR(TEXT(LOOKUP(2,1/(COUNTIF($J$1:J374,$A$2:$A$65)=0),$A$2:$A$65), "G/표준;;"),"")</f>
        <v/>
      </c>
    </row>
    <row r="376" spans="10:10">
      <c r="J376" s="31" t="str">
        <f>IFERROR(TEXT(LOOKUP(2,1/(COUNTIF($J$1:J375,$A$2:$A$65)=0),$A$2:$A$65), "G/표준;;"),"")</f>
        <v/>
      </c>
    </row>
    <row r="377" spans="10:10">
      <c r="J377" s="31" t="str">
        <f>IFERROR(TEXT(LOOKUP(2,1/(COUNTIF($J$1:J376,$A$2:$A$65)=0),$A$2:$A$65), "G/표준;;"),"")</f>
        <v/>
      </c>
    </row>
    <row r="378" spans="10:10">
      <c r="J378" s="31" t="str">
        <f>IFERROR(TEXT(LOOKUP(2,1/(COUNTIF($J$1:J377,$A$2:$A$65)=0),$A$2:$A$65), "G/표준;;"),"")</f>
        <v/>
      </c>
    </row>
    <row r="379" spans="10:10">
      <c r="J379" s="31" t="str">
        <f>IFERROR(TEXT(LOOKUP(2,1/(COUNTIF($J$1:J378,$A$2:$A$65)=0),$A$2:$A$65), "G/표준;;"),"")</f>
        <v/>
      </c>
    </row>
    <row r="380" spans="10:10">
      <c r="J380" s="31" t="str">
        <f>IFERROR(TEXT(LOOKUP(2,1/(COUNTIF($J$1:J379,$A$2:$A$65)=0),$A$2:$A$65), "G/표준;;"),"")</f>
        <v/>
      </c>
    </row>
    <row r="381" spans="10:10">
      <c r="J381" s="31" t="str">
        <f>IFERROR(TEXT(LOOKUP(2,1/(COUNTIF($J$1:J380,$A$2:$A$65)=0),$A$2:$A$65), "G/표준;;"),"")</f>
        <v/>
      </c>
    </row>
    <row r="382" spans="10:10">
      <c r="J382" s="31" t="str">
        <f>IFERROR(TEXT(LOOKUP(2,1/(COUNTIF($J$1:J381,$A$2:$A$65)=0),$A$2:$A$65), "G/표준;;"),"")</f>
        <v/>
      </c>
    </row>
    <row r="383" spans="10:10">
      <c r="J383" s="31" t="str">
        <f>IFERROR(TEXT(LOOKUP(2,1/(COUNTIF($J$1:J382,$A$2:$A$65)=0),$A$2:$A$65), "G/표준;;"),"")</f>
        <v/>
      </c>
    </row>
    <row r="384" spans="10:10">
      <c r="J384" s="31" t="str">
        <f>IFERROR(TEXT(LOOKUP(2,1/(COUNTIF($J$1:J383,$A$2:$A$65)=0),$A$2:$A$65), "G/표준;;"),"")</f>
        <v/>
      </c>
    </row>
    <row r="385" spans="10:10">
      <c r="J385" s="31" t="str">
        <f>IFERROR(TEXT(LOOKUP(2,1/(COUNTIF($J$1:J384,$A$2:$A$65)=0),$A$2:$A$65), "G/표준;;"),"")</f>
        <v/>
      </c>
    </row>
    <row r="386" spans="10:10">
      <c r="J386" s="31" t="str">
        <f>IFERROR(TEXT(LOOKUP(2,1/(COUNTIF($J$1:J385,$A$2:$A$65)=0),$A$2:$A$65), "G/표준;;"),"")</f>
        <v/>
      </c>
    </row>
    <row r="387" spans="10:10">
      <c r="J387" s="31" t="str">
        <f>IFERROR(TEXT(LOOKUP(2,1/(COUNTIF($J$1:J386,$A$2:$A$65)=0),$A$2:$A$65), "G/표준;;"),"")</f>
        <v/>
      </c>
    </row>
    <row r="388" spans="10:10">
      <c r="J388" s="31" t="str">
        <f>IFERROR(TEXT(LOOKUP(2,1/(COUNTIF($J$1:J387,$A$2:$A$65)=0),$A$2:$A$65), "G/표준;;"),"")</f>
        <v/>
      </c>
    </row>
    <row r="389" spans="10:10">
      <c r="J389" s="31" t="str">
        <f>IFERROR(TEXT(LOOKUP(2,1/(COUNTIF($J$1:J388,$A$2:$A$65)=0),$A$2:$A$65), "G/표준;;"),"")</f>
        <v/>
      </c>
    </row>
    <row r="390" spans="10:10">
      <c r="J390" s="31" t="str">
        <f>IFERROR(TEXT(LOOKUP(2,1/(COUNTIF($J$1:J389,$A$2:$A$65)=0),$A$2:$A$65), "G/표준;;"),"")</f>
        <v/>
      </c>
    </row>
    <row r="391" spans="10:10">
      <c r="J391" s="31" t="str">
        <f>IFERROR(TEXT(LOOKUP(2,1/(COUNTIF($J$1:J390,$A$2:$A$65)=0),$A$2:$A$65), "G/표준;;"),"")</f>
        <v/>
      </c>
    </row>
    <row r="392" spans="10:10">
      <c r="J392" s="31" t="str">
        <f>IFERROR(TEXT(LOOKUP(2,1/(COUNTIF($J$1:J391,$A$2:$A$65)=0),$A$2:$A$65), "G/표준;;"),"")</f>
        <v/>
      </c>
    </row>
    <row r="393" spans="10:10">
      <c r="J393" s="31" t="str">
        <f>IFERROR(TEXT(LOOKUP(2,1/(COUNTIF($J$1:J392,$A$2:$A$65)=0),$A$2:$A$65), "G/표준;;"),"")</f>
        <v/>
      </c>
    </row>
    <row r="394" spans="10:10">
      <c r="J394" s="31" t="str">
        <f>IFERROR(TEXT(LOOKUP(2,1/(COUNTIF($J$1:J393,$A$2:$A$65)=0),$A$2:$A$65), "G/표준;;"),"")</f>
        <v/>
      </c>
    </row>
    <row r="395" spans="10:10">
      <c r="J395" s="31" t="str">
        <f>IFERROR(TEXT(LOOKUP(2,1/(COUNTIF($J$1:J394,$A$2:$A$65)=0),$A$2:$A$65), "G/표준;;"),"")</f>
        <v/>
      </c>
    </row>
    <row r="396" spans="10:10">
      <c r="J396" s="31" t="str">
        <f>IFERROR(TEXT(LOOKUP(2,1/(COUNTIF($J$1:J395,$A$2:$A$65)=0),$A$2:$A$65), "G/표준;;"),"")</f>
        <v/>
      </c>
    </row>
    <row r="397" spans="10:10">
      <c r="J397" s="31" t="str">
        <f>IFERROR(TEXT(LOOKUP(2,1/(COUNTIF($J$1:J396,$A$2:$A$65)=0),$A$2:$A$65), "G/표준;;"),"")</f>
        <v/>
      </c>
    </row>
    <row r="398" spans="10:10">
      <c r="J398" s="31" t="str">
        <f>IFERROR(TEXT(LOOKUP(2,1/(COUNTIF($J$1:J397,$A$2:$A$65)=0),$A$2:$A$65), "G/표준;;"),"")</f>
        <v/>
      </c>
    </row>
    <row r="399" spans="10:10">
      <c r="J399" s="31" t="str">
        <f>IFERROR(TEXT(LOOKUP(2,1/(COUNTIF($J$1:J398,$A$2:$A$65)=0),$A$2:$A$65), "G/표준;;"),"")</f>
        <v/>
      </c>
    </row>
    <row r="400" spans="10:10">
      <c r="J400" s="31" t="str">
        <f>IFERROR(TEXT(LOOKUP(2,1/(COUNTIF($J$1:J399,$A$2:$A$65)=0),$A$2:$A$65), "G/표준;;"),"")</f>
        <v/>
      </c>
    </row>
    <row r="401" spans="10:10">
      <c r="J401" s="31" t="str">
        <f>IFERROR(TEXT(LOOKUP(2,1/(COUNTIF($J$1:J400,$A$2:$A$65)=0),$A$2:$A$65), "G/표준;;"),"")</f>
        <v/>
      </c>
    </row>
    <row r="402" spans="10:10">
      <c r="J402" s="31" t="str">
        <f>IFERROR(TEXT(LOOKUP(2,1/(COUNTIF($J$1:J401,$A$2:$A$65)=0),$A$2:$A$65), "G/표준;;"),"")</f>
        <v/>
      </c>
    </row>
    <row r="403" spans="10:10">
      <c r="J403" s="31" t="str">
        <f>IFERROR(TEXT(LOOKUP(2,1/(COUNTIF($J$1:J402,$A$2:$A$65)=0),$A$2:$A$65), "G/표준;;"),"")</f>
        <v/>
      </c>
    </row>
    <row r="404" spans="10:10">
      <c r="J404" s="31" t="str">
        <f>IFERROR(TEXT(LOOKUP(2,1/(COUNTIF($J$1:J403,$A$2:$A$65)=0),$A$2:$A$65), "G/표준;;"),"")</f>
        <v/>
      </c>
    </row>
    <row r="405" spans="10:10">
      <c r="J405" s="31" t="str">
        <f>IFERROR(TEXT(LOOKUP(2,1/(COUNTIF($J$1:J404,$A$2:$A$65)=0),$A$2:$A$65), "G/표준;;"),"")</f>
        <v/>
      </c>
    </row>
    <row r="406" spans="10:10">
      <c r="J406" s="31" t="str">
        <f>IFERROR(TEXT(LOOKUP(2,1/(COUNTIF($J$1:J405,$A$2:$A$65)=0),$A$2:$A$65), "G/표준;;"),"")</f>
        <v/>
      </c>
    </row>
    <row r="407" spans="10:10">
      <c r="J407" s="31" t="str">
        <f>IFERROR(TEXT(LOOKUP(2,1/(COUNTIF($J$1:J406,$A$2:$A$65)=0),$A$2:$A$65), "G/표준;;"),"")</f>
        <v/>
      </c>
    </row>
    <row r="408" spans="10:10">
      <c r="J408" s="31" t="str">
        <f>IFERROR(TEXT(LOOKUP(2,1/(COUNTIF($J$1:J407,$A$2:$A$65)=0),$A$2:$A$65), "G/표준;;"),"")</f>
        <v/>
      </c>
    </row>
    <row r="409" spans="10:10">
      <c r="J409" s="31" t="str">
        <f>IFERROR(TEXT(LOOKUP(2,1/(COUNTIF($J$1:J408,$A$2:$A$65)=0),$A$2:$A$65), "G/표준;;"),"")</f>
        <v/>
      </c>
    </row>
    <row r="410" spans="10:10">
      <c r="J410" s="31" t="str">
        <f>IFERROR(TEXT(LOOKUP(2,1/(COUNTIF($J$1:J409,$A$2:$A$65)=0),$A$2:$A$65), "G/표준;;"),"")</f>
        <v/>
      </c>
    </row>
    <row r="411" spans="10:10">
      <c r="J411" s="31" t="str">
        <f>IFERROR(TEXT(LOOKUP(2,1/(COUNTIF($J$1:J410,$A$2:$A$65)=0),$A$2:$A$65), "G/표준;;"),"")</f>
        <v/>
      </c>
    </row>
    <row r="412" spans="10:10">
      <c r="J412" s="31" t="str">
        <f>IFERROR(TEXT(LOOKUP(2,1/(COUNTIF($J$1:J411,$A$2:$A$65)=0),$A$2:$A$65), "G/표준;;"),"")</f>
        <v/>
      </c>
    </row>
    <row r="413" spans="10:10">
      <c r="J413" s="31" t="str">
        <f>IFERROR(TEXT(LOOKUP(2,1/(COUNTIF($J$1:J412,$A$2:$A$65)=0),$A$2:$A$65), "G/표준;;"),"")</f>
        <v/>
      </c>
    </row>
    <row r="414" spans="10:10">
      <c r="J414" s="31" t="str">
        <f>IFERROR(TEXT(LOOKUP(2,1/(COUNTIF($J$1:J413,$A$2:$A$65)=0),$A$2:$A$65), "G/표준;;"),"")</f>
        <v/>
      </c>
    </row>
    <row r="415" spans="10:10">
      <c r="J415" s="31" t="str">
        <f>IFERROR(TEXT(LOOKUP(2,1/(COUNTIF($J$1:J414,$A$2:$A$65)=0),$A$2:$A$65), "G/표준;;"),"")</f>
        <v/>
      </c>
    </row>
    <row r="416" spans="10:10">
      <c r="J416" s="31" t="str">
        <f>IFERROR(TEXT(LOOKUP(2,1/(COUNTIF($J$1:J415,$A$2:$A$65)=0),$A$2:$A$65), "G/표준;;"),"")</f>
        <v/>
      </c>
    </row>
    <row r="417" spans="10:10">
      <c r="J417" s="31" t="str">
        <f>IFERROR(TEXT(LOOKUP(2,1/(COUNTIF($J$1:J416,$A$2:$A$65)=0),$A$2:$A$65), "G/표준;;"),"")</f>
        <v/>
      </c>
    </row>
    <row r="418" spans="10:10">
      <c r="J418" s="31" t="str">
        <f>IFERROR(TEXT(LOOKUP(2,1/(COUNTIF($J$1:J417,$A$2:$A$65)=0),$A$2:$A$65), "G/표준;;"),"")</f>
        <v/>
      </c>
    </row>
    <row r="419" spans="10:10">
      <c r="J419" s="31" t="str">
        <f>IFERROR(TEXT(LOOKUP(2,1/(COUNTIF($J$1:J418,$A$2:$A$65)=0),$A$2:$A$65), "G/표준;;"),"")</f>
        <v/>
      </c>
    </row>
    <row r="420" spans="10:10">
      <c r="J420" s="31" t="str">
        <f>IFERROR(TEXT(LOOKUP(2,1/(COUNTIF($J$1:J419,$A$2:$A$65)=0),$A$2:$A$65), "G/표준;;"),"")</f>
        <v/>
      </c>
    </row>
    <row r="421" spans="10:10">
      <c r="J421" s="31" t="str">
        <f>IFERROR(TEXT(LOOKUP(2,1/(COUNTIF($J$1:J420,$A$2:$A$65)=0),$A$2:$A$65), "G/표준;;"),"")</f>
        <v/>
      </c>
    </row>
    <row r="422" spans="10:10">
      <c r="J422" s="31" t="str">
        <f>IFERROR(TEXT(LOOKUP(2,1/(COUNTIF($J$1:J421,$A$2:$A$65)=0),$A$2:$A$65), "G/표준;;"),"")</f>
        <v/>
      </c>
    </row>
    <row r="423" spans="10:10">
      <c r="J423" s="31" t="str">
        <f>IFERROR(TEXT(LOOKUP(2,1/(COUNTIF($J$1:J422,$A$2:$A$65)=0),$A$2:$A$65), "G/표준;;"),"")</f>
        <v/>
      </c>
    </row>
    <row r="424" spans="10:10">
      <c r="J424" s="31" t="str">
        <f>IFERROR(TEXT(LOOKUP(2,1/(COUNTIF($J$1:J423,$A$2:$A$65)=0),$A$2:$A$65), "G/표준;;"),"")</f>
        <v/>
      </c>
    </row>
    <row r="425" spans="10:10">
      <c r="J425" s="31" t="str">
        <f>IFERROR(TEXT(LOOKUP(2,1/(COUNTIF($J$1:J424,$A$2:$A$65)=0),$A$2:$A$65), "G/표준;;"),"")</f>
        <v/>
      </c>
    </row>
    <row r="426" spans="10:10">
      <c r="J426" s="31" t="str">
        <f>IFERROR(TEXT(LOOKUP(2,1/(COUNTIF($J$1:J425,$A$2:$A$65)=0),$A$2:$A$65), "G/표준;;"),"")</f>
        <v/>
      </c>
    </row>
    <row r="427" spans="10:10">
      <c r="J427" s="31" t="str">
        <f>IFERROR(TEXT(LOOKUP(2,1/(COUNTIF($J$1:J426,$A$2:$A$65)=0),$A$2:$A$65), "G/표준;;"),"")</f>
        <v/>
      </c>
    </row>
    <row r="428" spans="10:10">
      <c r="J428" s="31" t="str">
        <f>IFERROR(TEXT(LOOKUP(2,1/(COUNTIF($J$1:J427,$A$2:$A$65)=0),$A$2:$A$65), "G/표준;;"),"")</f>
        <v/>
      </c>
    </row>
    <row r="429" spans="10:10">
      <c r="J429" s="31" t="str">
        <f>IFERROR(TEXT(LOOKUP(2,1/(COUNTIF($J$1:J428,$A$2:$A$65)=0),$A$2:$A$65), "G/표준;;"),"")</f>
        <v/>
      </c>
    </row>
    <row r="430" spans="10:10">
      <c r="J430" s="31" t="str">
        <f>IFERROR(TEXT(LOOKUP(2,1/(COUNTIF($J$1:J429,$A$2:$A$65)=0),$A$2:$A$65), "G/표준;;"),"")</f>
        <v/>
      </c>
    </row>
    <row r="431" spans="10:10">
      <c r="J431" s="31" t="str">
        <f>IFERROR(TEXT(LOOKUP(2,1/(COUNTIF($J$1:J430,$A$2:$A$65)=0),$A$2:$A$65), "G/표준;;"),"")</f>
        <v/>
      </c>
    </row>
    <row r="432" spans="10:10">
      <c r="J432" s="31" t="str">
        <f>IFERROR(TEXT(LOOKUP(2,1/(COUNTIF($J$1:J431,$A$2:$A$65)=0),$A$2:$A$65), "G/표준;;"),"")</f>
        <v/>
      </c>
    </row>
    <row r="433" spans="10:10">
      <c r="J433" s="31" t="str">
        <f>IFERROR(TEXT(LOOKUP(2,1/(COUNTIF($J$1:J432,$A$2:$A$65)=0),$A$2:$A$65), "G/표준;;"),"")</f>
        <v/>
      </c>
    </row>
    <row r="434" spans="10:10">
      <c r="J434" s="31" t="str">
        <f>IFERROR(TEXT(LOOKUP(2,1/(COUNTIF($J$1:J433,$A$2:$A$65)=0),$A$2:$A$65), "G/표준;;"),"")</f>
        <v/>
      </c>
    </row>
    <row r="435" spans="10:10">
      <c r="J435" s="31" t="str">
        <f>IFERROR(TEXT(LOOKUP(2,1/(COUNTIF($J$1:J434,$A$2:$A$65)=0),$A$2:$A$65), "G/표준;;"),"")</f>
        <v/>
      </c>
    </row>
    <row r="436" spans="10:10">
      <c r="J436" s="31" t="str">
        <f>IFERROR(TEXT(LOOKUP(2,1/(COUNTIF($J$1:J435,$A$2:$A$65)=0),$A$2:$A$65), "G/표준;;"),"")</f>
        <v/>
      </c>
    </row>
    <row r="437" spans="10:10">
      <c r="J437" s="31" t="str">
        <f>IFERROR(TEXT(LOOKUP(2,1/(COUNTIF($J$1:J436,$A$2:$A$65)=0),$A$2:$A$65), "G/표준;;"),"")</f>
        <v/>
      </c>
    </row>
    <row r="438" spans="10:10">
      <c r="J438" s="31" t="str">
        <f>IFERROR(TEXT(LOOKUP(2,1/(COUNTIF($J$1:J437,$A$2:$A$65)=0),$A$2:$A$65), "G/표준;;"),"")</f>
        <v/>
      </c>
    </row>
    <row r="439" spans="10:10">
      <c r="J439" s="31" t="str">
        <f>IFERROR(TEXT(LOOKUP(2,1/(COUNTIF($J$1:J438,$A$2:$A$65)=0),$A$2:$A$65), "G/표준;;"),"")</f>
        <v/>
      </c>
    </row>
    <row r="440" spans="10:10">
      <c r="J440" s="31" t="str">
        <f>IFERROR(TEXT(LOOKUP(2,1/(COUNTIF($J$1:J439,$A$2:$A$65)=0),$A$2:$A$65), "G/표준;;"),"")</f>
        <v/>
      </c>
    </row>
    <row r="441" spans="10:10">
      <c r="J441" s="31" t="str">
        <f>IFERROR(TEXT(LOOKUP(2,1/(COUNTIF($J$1:J440,$A$2:$A$65)=0),$A$2:$A$65), "G/표준;;"),"")</f>
        <v/>
      </c>
    </row>
    <row r="442" spans="10:10">
      <c r="J442" s="31" t="str">
        <f>IFERROR(TEXT(LOOKUP(2,1/(COUNTIF($J$1:J441,$A$2:$A$65)=0),$A$2:$A$65), "G/표준;;"),"")</f>
        <v/>
      </c>
    </row>
    <row r="443" spans="10:10">
      <c r="J443" s="31" t="str">
        <f>IFERROR(TEXT(LOOKUP(2,1/(COUNTIF($J$1:J442,$A$2:$A$65)=0),$A$2:$A$65), "G/표준;;"),"")</f>
        <v/>
      </c>
    </row>
    <row r="444" spans="10:10">
      <c r="J444" s="31" t="str">
        <f>IFERROR(TEXT(LOOKUP(2,1/(COUNTIF($J$1:J443,$A$2:$A$65)=0),$A$2:$A$65), "G/표준;;"),"")</f>
        <v/>
      </c>
    </row>
    <row r="445" spans="10:10">
      <c r="J445" s="31" t="str">
        <f>IFERROR(TEXT(LOOKUP(2,1/(COUNTIF($J$1:J444,$A$2:$A$65)=0),$A$2:$A$65), "G/표준;;"),"")</f>
        <v/>
      </c>
    </row>
    <row r="446" spans="10:10">
      <c r="J446" s="31" t="str">
        <f>IFERROR(TEXT(LOOKUP(2,1/(COUNTIF($J$1:J445,$A$2:$A$65)=0),$A$2:$A$65), "G/표준;;"),"")</f>
        <v/>
      </c>
    </row>
    <row r="447" spans="10:10">
      <c r="J447" s="31" t="str">
        <f>IFERROR(TEXT(LOOKUP(2,1/(COUNTIF($J$1:J446,$A$2:$A$65)=0),$A$2:$A$65), "G/표준;;"),"")</f>
        <v/>
      </c>
    </row>
    <row r="448" spans="10:10">
      <c r="J448" s="31" t="str">
        <f>IFERROR(TEXT(LOOKUP(2,1/(COUNTIF($J$1:J447,$A$2:$A$65)=0),$A$2:$A$65), "G/표준;;"),"")</f>
        <v/>
      </c>
    </row>
    <row r="449" spans="10:10">
      <c r="J449" s="31" t="str">
        <f>IFERROR(TEXT(LOOKUP(2,1/(COUNTIF($J$1:J448,$A$2:$A$65)=0),$A$2:$A$65), "G/표준;;"),"")</f>
        <v/>
      </c>
    </row>
    <row r="450" spans="10:10">
      <c r="J450" s="31" t="str">
        <f>IFERROR(TEXT(LOOKUP(2,1/(COUNTIF($J$1:J449,$A$2:$A$65)=0),$A$2:$A$65), "G/표준;;"),"")</f>
        <v/>
      </c>
    </row>
    <row r="451" spans="10:10">
      <c r="J451" s="31" t="str">
        <f>IFERROR(TEXT(LOOKUP(2,1/(COUNTIF($J$1:J450,$A$2:$A$65)=0),$A$2:$A$65), "G/표준;;"),"")</f>
        <v/>
      </c>
    </row>
    <row r="452" spans="10:10">
      <c r="J452" s="31" t="str">
        <f>IFERROR(TEXT(LOOKUP(2,1/(COUNTIF($J$1:J451,$A$2:$A$65)=0),$A$2:$A$65), "G/표준;;"),"")</f>
        <v/>
      </c>
    </row>
    <row r="453" spans="10:10">
      <c r="J453" s="31" t="str">
        <f>IFERROR(TEXT(LOOKUP(2,1/(COUNTIF($J$1:J452,$A$2:$A$65)=0),$A$2:$A$65), "G/표준;;"),"")</f>
        <v/>
      </c>
    </row>
    <row r="454" spans="10:10">
      <c r="J454" s="31" t="str">
        <f>IFERROR(TEXT(LOOKUP(2,1/(COUNTIF($J$1:J453,$A$2:$A$65)=0),$A$2:$A$65), "G/표준;;"),"")</f>
        <v/>
      </c>
    </row>
    <row r="455" spans="10:10">
      <c r="J455" s="31" t="str">
        <f>IFERROR(TEXT(LOOKUP(2,1/(COUNTIF($J$1:J454,$A$2:$A$65)=0),$A$2:$A$65), "G/표준;;"),"")</f>
        <v/>
      </c>
    </row>
    <row r="456" spans="10:10">
      <c r="J456" s="31" t="str">
        <f>IFERROR(TEXT(LOOKUP(2,1/(COUNTIF($J$1:J455,$A$2:$A$65)=0),$A$2:$A$65), "G/표준;;"),"")</f>
        <v/>
      </c>
    </row>
    <row r="457" spans="10:10">
      <c r="J457" s="31" t="str">
        <f>IFERROR(TEXT(LOOKUP(2,1/(COUNTIF($J$1:J456,$A$2:$A$65)=0),$A$2:$A$65), "G/표준;;"),"")</f>
        <v/>
      </c>
    </row>
    <row r="458" spans="10:10">
      <c r="J458" s="31" t="str">
        <f>IFERROR(TEXT(LOOKUP(2,1/(COUNTIF($J$1:J457,$A$2:$A$65)=0),$A$2:$A$65), "G/표준;;"),"")</f>
        <v/>
      </c>
    </row>
    <row r="459" spans="10:10">
      <c r="J459" s="31" t="str">
        <f>IFERROR(TEXT(LOOKUP(2,1/(COUNTIF($J$1:J458,$A$2:$A$65)=0),$A$2:$A$65), "G/표준;;"),"")</f>
        <v/>
      </c>
    </row>
    <row r="460" spans="10:10">
      <c r="J460" s="31" t="str">
        <f>IFERROR(TEXT(LOOKUP(2,1/(COUNTIF($J$1:J459,$A$2:$A$65)=0),$A$2:$A$65), "G/표준;;"),"")</f>
        <v/>
      </c>
    </row>
    <row r="461" spans="10:10">
      <c r="J461" s="31" t="str">
        <f>IFERROR(TEXT(LOOKUP(2,1/(COUNTIF($J$1:J460,$A$2:$A$65)=0),$A$2:$A$65), "G/표준;;"),"")</f>
        <v/>
      </c>
    </row>
    <row r="462" spans="10:10">
      <c r="J462" s="31" t="str">
        <f>IFERROR(TEXT(LOOKUP(2,1/(COUNTIF($J$1:J461,$A$2:$A$65)=0),$A$2:$A$65), "G/표준;;"),"")</f>
        <v/>
      </c>
    </row>
    <row r="463" spans="10:10">
      <c r="J463" s="31" t="str">
        <f>IFERROR(TEXT(LOOKUP(2,1/(COUNTIF($J$1:J462,$A$2:$A$65)=0),$A$2:$A$65), "G/표준;;"),"")</f>
        <v/>
      </c>
    </row>
    <row r="464" spans="10:10">
      <c r="J464" s="31" t="str">
        <f>IFERROR(TEXT(LOOKUP(2,1/(COUNTIF($J$1:J463,$A$2:$A$65)=0),$A$2:$A$65), "G/표준;;"),"")</f>
        <v/>
      </c>
    </row>
    <row r="465" spans="10:10">
      <c r="J465" s="31" t="str">
        <f>IFERROR(TEXT(LOOKUP(2,1/(COUNTIF($J$1:J464,$A$2:$A$65)=0),$A$2:$A$65), "G/표준;;"),"")</f>
        <v/>
      </c>
    </row>
    <row r="466" spans="10:10">
      <c r="J466" s="31" t="str">
        <f>IFERROR(TEXT(LOOKUP(2,1/(COUNTIF($J$1:J465,$A$2:$A$65)=0),$A$2:$A$65), "G/표준;;"),"")</f>
        <v/>
      </c>
    </row>
    <row r="467" spans="10:10">
      <c r="J467" s="31" t="str">
        <f>IFERROR(TEXT(LOOKUP(2,1/(COUNTIF($J$1:J466,$A$2:$A$65)=0),$A$2:$A$65), "G/표준;;"),"")</f>
        <v/>
      </c>
    </row>
    <row r="468" spans="10:10">
      <c r="J468" s="31" t="str">
        <f>IFERROR(TEXT(LOOKUP(2,1/(COUNTIF($J$1:J467,$A$2:$A$65)=0),$A$2:$A$65), "G/표준;;"),"")</f>
        <v/>
      </c>
    </row>
    <row r="469" spans="10:10">
      <c r="J469" s="31" t="str">
        <f>IFERROR(TEXT(LOOKUP(2,1/(COUNTIF($J$1:J468,$A$2:$A$65)=0),$A$2:$A$65), "G/표준;;"),"")</f>
        <v/>
      </c>
    </row>
    <row r="470" spans="10:10">
      <c r="J470" s="31" t="str">
        <f>IFERROR(TEXT(LOOKUP(2,1/(COUNTIF($J$1:J469,$A$2:$A$65)=0),$A$2:$A$65), "G/표준;;"),"")</f>
        <v/>
      </c>
    </row>
    <row r="471" spans="10:10">
      <c r="J471" s="31" t="str">
        <f>IFERROR(TEXT(LOOKUP(2,1/(COUNTIF($J$1:J470,$A$2:$A$65)=0),$A$2:$A$65), "G/표준;;"),"")</f>
        <v/>
      </c>
    </row>
    <row r="472" spans="10:10">
      <c r="J472" s="31" t="str">
        <f>IFERROR(TEXT(LOOKUP(2,1/(COUNTIF($J$1:J471,$A$2:$A$65)=0),$A$2:$A$65), "G/표준;;"),"")</f>
        <v/>
      </c>
    </row>
    <row r="473" spans="10:10">
      <c r="J473" s="31" t="str">
        <f>IFERROR(TEXT(LOOKUP(2,1/(COUNTIF($J$1:J472,$A$2:$A$65)=0),$A$2:$A$65), "G/표준;;"),"")</f>
        <v/>
      </c>
    </row>
    <row r="474" spans="10:10">
      <c r="J474" s="31" t="str">
        <f>IFERROR(TEXT(LOOKUP(2,1/(COUNTIF($J$1:J473,$A$2:$A$65)=0),$A$2:$A$65), "G/표준;;"),"")</f>
        <v/>
      </c>
    </row>
    <row r="475" spans="10:10">
      <c r="J475" s="31" t="str">
        <f>IFERROR(TEXT(LOOKUP(2,1/(COUNTIF($J$1:J474,$A$2:$A$65)=0),$A$2:$A$65), "G/표준;;"),"")</f>
        <v/>
      </c>
    </row>
    <row r="476" spans="10:10">
      <c r="J476" s="31" t="str">
        <f>IFERROR(TEXT(LOOKUP(2,1/(COUNTIF($J$1:J475,$A$2:$A$65)=0),$A$2:$A$65), "G/표준;;"),"")</f>
        <v/>
      </c>
    </row>
    <row r="477" spans="10:10">
      <c r="J477" s="31" t="str">
        <f>IFERROR(TEXT(LOOKUP(2,1/(COUNTIF($J$1:J476,$A$2:$A$65)=0),$A$2:$A$65), "G/표준;;"),"")</f>
        <v/>
      </c>
    </row>
    <row r="478" spans="10:10">
      <c r="J478" s="31" t="str">
        <f>IFERROR(TEXT(LOOKUP(2,1/(COUNTIF($J$1:J477,$A$2:$A$65)=0),$A$2:$A$65), "G/표준;;"),"")</f>
        <v/>
      </c>
    </row>
    <row r="479" spans="10:10">
      <c r="J479" s="31" t="str">
        <f>IFERROR(TEXT(LOOKUP(2,1/(COUNTIF($J$1:J478,$A$2:$A$65)=0),$A$2:$A$65), "G/표준;;"),"")</f>
        <v/>
      </c>
    </row>
    <row r="480" spans="10:10">
      <c r="J480" s="31" t="str">
        <f>IFERROR(TEXT(LOOKUP(2,1/(COUNTIF($J$1:J479,$A$2:$A$65)=0),$A$2:$A$65), "G/표준;;"),"")</f>
        <v/>
      </c>
    </row>
    <row r="481" spans="10:10">
      <c r="J481" s="31" t="str">
        <f>IFERROR(TEXT(LOOKUP(2,1/(COUNTIF($J$1:J480,$A$2:$A$65)=0),$A$2:$A$65), "G/표준;;"),"")</f>
        <v/>
      </c>
    </row>
    <row r="482" spans="10:10">
      <c r="J482" s="31" t="str">
        <f>IFERROR(TEXT(LOOKUP(2,1/(COUNTIF($J$1:J481,$A$2:$A$65)=0),$A$2:$A$65), "G/표준;;"),"")</f>
        <v/>
      </c>
    </row>
    <row r="483" spans="10:10">
      <c r="J483" s="31" t="str">
        <f>IFERROR(TEXT(LOOKUP(2,1/(COUNTIF($J$1:J482,$A$2:$A$65)=0),$A$2:$A$65), "G/표준;;"),"")</f>
        <v/>
      </c>
    </row>
    <row r="484" spans="10:10">
      <c r="J484" s="31" t="str">
        <f>IFERROR(TEXT(LOOKUP(2,1/(COUNTIF($J$1:J483,$A$2:$A$65)=0),$A$2:$A$65), "G/표준;;"),"")</f>
        <v/>
      </c>
    </row>
    <row r="485" spans="10:10">
      <c r="J485" s="31" t="str">
        <f>IFERROR(TEXT(LOOKUP(2,1/(COUNTIF($J$1:J484,$A$2:$A$65)=0),$A$2:$A$65), "G/표준;;"),"")</f>
        <v/>
      </c>
    </row>
    <row r="486" spans="10:10">
      <c r="J486" s="31" t="str">
        <f>IFERROR(TEXT(LOOKUP(2,1/(COUNTIF($J$1:J485,$A$2:$A$65)=0),$A$2:$A$65), "G/표준;;"),"")</f>
        <v/>
      </c>
    </row>
    <row r="487" spans="10:10">
      <c r="J487" s="31" t="str">
        <f>IFERROR(TEXT(LOOKUP(2,1/(COUNTIF($J$1:J486,$A$2:$A$65)=0),$A$2:$A$65), "G/표준;;"),"")</f>
        <v/>
      </c>
    </row>
    <row r="488" spans="10:10">
      <c r="J488" s="31" t="str">
        <f>IFERROR(TEXT(LOOKUP(2,1/(COUNTIF($J$1:J487,$A$2:$A$65)=0),$A$2:$A$65), "G/표준;;"),"")</f>
        <v/>
      </c>
    </row>
    <row r="489" spans="10:10">
      <c r="J489" s="31" t="str">
        <f>IFERROR(TEXT(LOOKUP(2,1/(COUNTIF($J$1:J488,$A$2:$A$65)=0),$A$2:$A$65), "G/표준;;"),"")</f>
        <v/>
      </c>
    </row>
    <row r="490" spans="10:10">
      <c r="J490" s="31" t="str">
        <f>IFERROR(TEXT(LOOKUP(2,1/(COUNTIF($J$1:J489,$A$2:$A$65)=0),$A$2:$A$65), "G/표준;;"),"")</f>
        <v/>
      </c>
    </row>
    <row r="491" spans="10:10">
      <c r="J491" s="31" t="str">
        <f>IFERROR(TEXT(LOOKUP(2,1/(COUNTIF($J$1:J490,$A$2:$A$65)=0),$A$2:$A$65), "G/표준;;"),"")</f>
        <v/>
      </c>
    </row>
    <row r="492" spans="10:10">
      <c r="J492" s="31" t="str">
        <f>IFERROR(TEXT(LOOKUP(2,1/(COUNTIF($J$1:J491,$A$2:$A$65)=0),$A$2:$A$65), "G/표준;;"),"")</f>
        <v/>
      </c>
    </row>
    <row r="493" spans="10:10">
      <c r="J493" s="31" t="str">
        <f>IFERROR(TEXT(LOOKUP(2,1/(COUNTIF($J$1:J492,$A$2:$A$65)=0),$A$2:$A$65), "G/표준;;"),"")</f>
        <v/>
      </c>
    </row>
    <row r="494" spans="10:10">
      <c r="J494" s="31" t="str">
        <f>IFERROR(TEXT(LOOKUP(2,1/(COUNTIF($J$1:J493,$A$2:$A$65)=0),$A$2:$A$65), "G/표준;;"),"")</f>
        <v/>
      </c>
    </row>
    <row r="495" spans="10:10">
      <c r="J495" s="31" t="str">
        <f>IFERROR(TEXT(LOOKUP(2,1/(COUNTIF($J$1:J494,$A$2:$A$65)=0),$A$2:$A$65), "G/표준;;"),"")</f>
        <v/>
      </c>
    </row>
    <row r="496" spans="10:10">
      <c r="J496" s="31" t="str">
        <f>IFERROR(TEXT(LOOKUP(2,1/(COUNTIF($J$1:J495,$A$2:$A$65)=0),$A$2:$A$65), "G/표준;;"),"")</f>
        <v/>
      </c>
    </row>
    <row r="497" spans="10:10">
      <c r="J497" s="31" t="str">
        <f>IFERROR(TEXT(LOOKUP(2,1/(COUNTIF($J$1:J496,$A$2:$A$65)=0),$A$2:$A$65), "G/표준;;"),"")</f>
        <v/>
      </c>
    </row>
    <row r="498" spans="10:10">
      <c r="J498" s="31" t="str">
        <f>IFERROR(TEXT(LOOKUP(2,1/(COUNTIF($J$1:J497,$A$2:$A$65)=0),$A$2:$A$65), "G/표준;;"),"")</f>
        <v/>
      </c>
    </row>
    <row r="499" spans="10:10">
      <c r="J499" s="31" t="str">
        <f>IFERROR(TEXT(LOOKUP(2,1/(COUNTIF($J$1:J498,$A$2:$A$65)=0),$A$2:$A$65), "G/표준;;"),"")</f>
        <v/>
      </c>
    </row>
    <row r="500" spans="10:10">
      <c r="J500" s="31" t="str">
        <f>IFERROR(TEXT(LOOKUP(2,1/(COUNTIF($J$1:J499,$A$2:$A$65)=0),$A$2:$A$65), "G/표준;;"),"")</f>
        <v/>
      </c>
    </row>
    <row r="501" spans="10:10">
      <c r="J501" s="31" t="str">
        <f>IFERROR(TEXT(LOOKUP(2,1/(COUNTIF($J$1:J500,$A$2:$A$65)=0),$A$2:$A$65), "G/표준;;"),"")</f>
        <v/>
      </c>
    </row>
    <row r="502" spans="10:10">
      <c r="J502" s="31" t="str">
        <f>IFERROR(TEXT(LOOKUP(2,1/(COUNTIF($J$1:J501,$A$2:$A$65)=0),$A$2:$A$65), "G/표준;;"),"")</f>
        <v/>
      </c>
    </row>
    <row r="503" spans="10:10">
      <c r="J503" s="31" t="str">
        <f>IFERROR(TEXT(LOOKUP(2,1/(COUNTIF($J$1:J502,$A$2:$A$65)=0),$A$2:$A$65), "G/표준;;"),"")</f>
        <v/>
      </c>
    </row>
    <row r="504" spans="10:10">
      <c r="J504" s="31" t="str">
        <f>IFERROR(TEXT(LOOKUP(2,1/(COUNTIF($J$1:J503,$A$2:$A$65)=0),$A$2:$A$65), "G/표준;;"),"")</f>
        <v/>
      </c>
    </row>
    <row r="505" spans="10:10">
      <c r="J505" s="31" t="str">
        <f>IFERROR(TEXT(LOOKUP(2,1/(COUNTIF($J$1:J504,$A$2:$A$65)=0),$A$2:$A$65), "G/표준;;"),"")</f>
        <v/>
      </c>
    </row>
    <row r="506" spans="10:10">
      <c r="J506" s="31" t="str">
        <f>IFERROR(TEXT(LOOKUP(2,1/(COUNTIF($J$1:J505,$A$2:$A$65)=0),$A$2:$A$65), "G/표준;;"),"")</f>
        <v/>
      </c>
    </row>
    <row r="507" spans="10:10">
      <c r="J507" s="31" t="str">
        <f>IFERROR(TEXT(LOOKUP(2,1/(COUNTIF($J$1:J506,$A$2:$A$65)=0),$A$2:$A$65), "G/표준;;"),"")</f>
        <v/>
      </c>
    </row>
    <row r="508" spans="10:10">
      <c r="J508" s="31" t="str">
        <f>IFERROR(TEXT(LOOKUP(2,1/(COUNTIF($J$1:J507,$A$2:$A$65)=0),$A$2:$A$65), "G/표준;;"),"")</f>
        <v/>
      </c>
    </row>
    <row r="509" spans="10:10">
      <c r="J509" s="31" t="str">
        <f>IFERROR(TEXT(LOOKUP(2,1/(COUNTIF($J$1:J508,$A$2:$A$65)=0),$A$2:$A$65), "G/표준;;"),"")</f>
        <v/>
      </c>
    </row>
    <row r="510" spans="10:10">
      <c r="J510" s="31" t="str">
        <f>IFERROR(TEXT(LOOKUP(2,1/(COUNTIF($J$1:J509,$A$2:$A$65)=0),$A$2:$A$65), "G/표준;;"),"")</f>
        <v/>
      </c>
    </row>
    <row r="511" spans="10:10">
      <c r="J511" s="31" t="str">
        <f>IFERROR(TEXT(LOOKUP(2,1/(COUNTIF($J$1:J510,$A$2:$A$65)=0),$A$2:$A$65), "G/표준;;"),"")</f>
        <v/>
      </c>
    </row>
    <row r="512" spans="10:10">
      <c r="J512" s="31" t="str">
        <f>IFERROR(TEXT(LOOKUP(2,1/(COUNTIF($J$1:J511,$A$2:$A$65)=0),$A$2:$A$65), "G/표준;;"),"")</f>
        <v/>
      </c>
    </row>
    <row r="513" spans="10:10">
      <c r="J513" s="31" t="str">
        <f>IFERROR(TEXT(LOOKUP(2,1/(COUNTIF($J$1:J512,$A$2:$A$65)=0),$A$2:$A$65), "G/표준;;"),"")</f>
        <v/>
      </c>
    </row>
    <row r="514" spans="10:10">
      <c r="J514" s="31" t="str">
        <f>IFERROR(TEXT(LOOKUP(2,1/(COUNTIF($J$1:J513,$A$2:$A$65)=0),$A$2:$A$65), "G/표준;;"),"")</f>
        <v/>
      </c>
    </row>
    <row r="515" spans="10:10">
      <c r="J515" s="31" t="str">
        <f>IFERROR(TEXT(LOOKUP(2,1/(COUNTIF($J$1:J514,$A$2:$A$65)=0),$A$2:$A$65), "G/표준;;"),"")</f>
        <v/>
      </c>
    </row>
    <row r="516" spans="10:10">
      <c r="J516" s="31" t="str">
        <f>IFERROR(TEXT(LOOKUP(2,1/(COUNTIF($J$1:J515,$A$2:$A$65)=0),$A$2:$A$65), "G/표준;;"),"")</f>
        <v/>
      </c>
    </row>
    <row r="517" spans="10:10">
      <c r="J517" s="31" t="str">
        <f>IFERROR(TEXT(LOOKUP(2,1/(COUNTIF($J$1:J516,$A$2:$A$65)=0),$A$2:$A$65), "G/표준;;"),"")</f>
        <v/>
      </c>
    </row>
    <row r="518" spans="10:10">
      <c r="J518" s="31" t="str">
        <f>IFERROR(TEXT(LOOKUP(2,1/(COUNTIF($J$1:J517,$A$2:$A$65)=0),$A$2:$A$65), "G/표준;;"),"")</f>
        <v/>
      </c>
    </row>
    <row r="519" spans="10:10">
      <c r="J519" s="31" t="str">
        <f>IFERROR(TEXT(LOOKUP(2,1/(COUNTIF($J$1:J518,$A$2:$A$65)=0),$A$2:$A$65), "G/표준;;"),"")</f>
        <v/>
      </c>
    </row>
    <row r="520" spans="10:10">
      <c r="J520" s="31" t="str">
        <f>IFERROR(TEXT(LOOKUP(2,1/(COUNTIF($J$1:J519,$A$2:$A$65)=0),$A$2:$A$65), "G/표준;;"),"")</f>
        <v/>
      </c>
    </row>
    <row r="521" spans="10:10">
      <c r="J521" s="31" t="str">
        <f>IFERROR(TEXT(LOOKUP(2,1/(COUNTIF($J$1:J520,$A$2:$A$65)=0),$A$2:$A$65), "G/표준;;"),"")</f>
        <v/>
      </c>
    </row>
    <row r="522" spans="10:10">
      <c r="J522" s="31" t="str">
        <f>IFERROR(TEXT(LOOKUP(2,1/(COUNTIF($J$1:J521,$A$2:$A$65)=0),$A$2:$A$65), "G/표준;;"),"")</f>
        <v/>
      </c>
    </row>
    <row r="523" spans="10:10">
      <c r="J523" s="31" t="str">
        <f>IFERROR(TEXT(LOOKUP(2,1/(COUNTIF($J$1:J522,$A$2:$A$65)=0),$A$2:$A$65), "G/표준;;"),"")</f>
        <v/>
      </c>
    </row>
    <row r="524" spans="10:10">
      <c r="J524" s="31" t="str">
        <f>IFERROR(TEXT(LOOKUP(2,1/(COUNTIF($J$1:J523,$A$2:$A$65)=0),$A$2:$A$65), "G/표준;;"),"")</f>
        <v/>
      </c>
    </row>
    <row r="525" spans="10:10">
      <c r="J525" s="31" t="str">
        <f>IFERROR(TEXT(LOOKUP(2,1/(COUNTIF($J$1:J524,$A$2:$A$65)=0),$A$2:$A$65), "G/표준;;"),"")</f>
        <v/>
      </c>
    </row>
    <row r="526" spans="10:10">
      <c r="J526" s="31" t="str">
        <f>IFERROR(TEXT(LOOKUP(2,1/(COUNTIF($J$1:J525,$A$2:$A$65)=0),$A$2:$A$65), "G/표준;;"),"")</f>
        <v/>
      </c>
    </row>
    <row r="527" spans="10:10">
      <c r="J527" s="31" t="str">
        <f>IFERROR(TEXT(LOOKUP(2,1/(COUNTIF($J$1:J526,$A$2:$A$65)=0),$A$2:$A$65), "G/표준;;"),"")</f>
        <v/>
      </c>
    </row>
    <row r="528" spans="10:10">
      <c r="J528" s="31" t="str">
        <f>IFERROR(TEXT(LOOKUP(2,1/(COUNTIF($J$1:J527,$A$2:$A$65)=0),$A$2:$A$65), "G/표준;;"),"")</f>
        <v/>
      </c>
    </row>
    <row r="529" spans="10:10">
      <c r="J529" s="31" t="str">
        <f>IFERROR(TEXT(LOOKUP(2,1/(COUNTIF($J$1:J528,$A$2:$A$65)=0),$A$2:$A$65), "G/표준;;"),"")</f>
        <v/>
      </c>
    </row>
    <row r="530" spans="10:10">
      <c r="J530" s="31" t="str">
        <f>IFERROR(TEXT(LOOKUP(2,1/(COUNTIF($J$1:J529,$A$2:$A$65)=0),$A$2:$A$65), "G/표준;;"),"")</f>
        <v/>
      </c>
    </row>
    <row r="531" spans="10:10">
      <c r="J531" s="31" t="str">
        <f>IFERROR(TEXT(LOOKUP(2,1/(COUNTIF($J$1:J530,$A$2:$A$65)=0),$A$2:$A$65), "G/표준;;"),"")</f>
        <v/>
      </c>
    </row>
    <row r="532" spans="10:10">
      <c r="J532" s="31" t="str">
        <f>IFERROR(TEXT(LOOKUP(2,1/(COUNTIF($J$1:J531,$A$2:$A$65)=0),$A$2:$A$65), "G/표준;;"),"")</f>
        <v/>
      </c>
    </row>
    <row r="533" spans="10:10">
      <c r="J533" s="31" t="str">
        <f>IFERROR(TEXT(LOOKUP(2,1/(COUNTIF($J$1:J532,$A$2:$A$65)=0),$A$2:$A$65), "G/표준;;"),"")</f>
        <v/>
      </c>
    </row>
    <row r="534" spans="10:10">
      <c r="J534" s="31" t="str">
        <f>IFERROR(TEXT(LOOKUP(2,1/(COUNTIF($J$1:J533,$A$2:$A$65)=0),$A$2:$A$65), "G/표준;;"),"")</f>
        <v/>
      </c>
    </row>
    <row r="535" spans="10:10">
      <c r="J535" s="31" t="str">
        <f>IFERROR(TEXT(LOOKUP(2,1/(COUNTIF($J$1:J534,$A$2:$A$65)=0),$A$2:$A$65), "G/표준;;"),"")</f>
        <v/>
      </c>
    </row>
    <row r="536" spans="10:10">
      <c r="J536" s="31" t="str">
        <f>IFERROR(TEXT(LOOKUP(2,1/(COUNTIF($J$1:J535,$A$2:$A$65)=0),$A$2:$A$65), "G/표준;;"),"")</f>
        <v/>
      </c>
    </row>
    <row r="537" spans="10:10">
      <c r="J537" s="31" t="str">
        <f>IFERROR(TEXT(LOOKUP(2,1/(COUNTIF($J$1:J536,$A$2:$A$65)=0),$A$2:$A$65), "G/표준;;"),"")</f>
        <v/>
      </c>
    </row>
    <row r="538" spans="10:10">
      <c r="J538" s="31" t="str">
        <f>IFERROR(TEXT(LOOKUP(2,1/(COUNTIF($J$1:J537,$A$2:$A$65)=0),$A$2:$A$65), "G/표준;;"),"")</f>
        <v/>
      </c>
    </row>
    <row r="539" spans="10:10">
      <c r="J539" s="31" t="str">
        <f>IFERROR(TEXT(LOOKUP(2,1/(COUNTIF($J$1:J538,$A$2:$A$65)=0),$A$2:$A$65), "G/표준;;"),"")</f>
        <v/>
      </c>
    </row>
    <row r="540" spans="10:10">
      <c r="J540" s="31" t="str">
        <f>IFERROR(TEXT(LOOKUP(2,1/(COUNTIF($J$1:J539,$A$2:$A$65)=0),$A$2:$A$65), "G/표준;;"),"")</f>
        <v/>
      </c>
    </row>
    <row r="541" spans="10:10">
      <c r="J541" s="31" t="str">
        <f>IFERROR(TEXT(LOOKUP(2,1/(COUNTIF($J$1:J540,$A$2:$A$65)=0),$A$2:$A$65), "G/표준;;"),"")</f>
        <v/>
      </c>
    </row>
    <row r="542" spans="10:10">
      <c r="J542" s="31" t="str">
        <f>IFERROR(TEXT(LOOKUP(2,1/(COUNTIF($J$1:J541,$A$2:$A$65)=0),$A$2:$A$65), "G/표준;;"),"")</f>
        <v/>
      </c>
    </row>
    <row r="543" spans="10:10">
      <c r="J543" s="31" t="str">
        <f>IFERROR(TEXT(LOOKUP(2,1/(COUNTIF($J$1:J542,$A$2:$A$65)=0),$A$2:$A$65), "G/표준;;"),"")</f>
        <v/>
      </c>
    </row>
    <row r="544" spans="10:10">
      <c r="J544" s="31" t="str">
        <f>IFERROR(TEXT(LOOKUP(2,1/(COUNTIF($J$1:J543,$A$2:$A$65)=0),$A$2:$A$65), "G/표준;;"),"")</f>
        <v/>
      </c>
    </row>
    <row r="545" spans="10:10">
      <c r="J545" s="31" t="str">
        <f>IFERROR(TEXT(LOOKUP(2,1/(COUNTIF($J$1:J544,$A$2:$A$65)=0),$A$2:$A$65), "G/표준;;"),"")</f>
        <v/>
      </c>
    </row>
    <row r="546" spans="10:10">
      <c r="J546" s="31" t="str">
        <f>IFERROR(TEXT(LOOKUP(2,1/(COUNTIF($J$1:J545,$A$2:$A$65)=0),$A$2:$A$65), "G/표준;;"),"")</f>
        <v/>
      </c>
    </row>
    <row r="547" spans="10:10">
      <c r="J547" s="31" t="str">
        <f>IFERROR(TEXT(LOOKUP(2,1/(COUNTIF($J$1:J546,$A$2:$A$65)=0),$A$2:$A$65), "G/표준;;"),"")</f>
        <v/>
      </c>
    </row>
    <row r="548" spans="10:10">
      <c r="J548" s="31" t="str">
        <f>IFERROR(TEXT(LOOKUP(2,1/(COUNTIF($J$1:J547,$A$2:$A$65)=0),$A$2:$A$65), "G/표준;;"),"")</f>
        <v/>
      </c>
    </row>
    <row r="549" spans="10:10">
      <c r="J549" s="31" t="str">
        <f>IFERROR(TEXT(LOOKUP(2,1/(COUNTIF($J$1:J548,$A$2:$A$65)=0),$A$2:$A$65), "G/표준;;"),"")</f>
        <v/>
      </c>
    </row>
    <row r="550" spans="10:10">
      <c r="J550" s="31" t="str">
        <f>IFERROR(TEXT(LOOKUP(2,1/(COUNTIF($J$1:J549,$A$2:$A$65)=0),$A$2:$A$65), "G/표준;;"),"")</f>
        <v/>
      </c>
    </row>
    <row r="551" spans="10:10">
      <c r="J551" s="31" t="str">
        <f>IFERROR(TEXT(LOOKUP(2,1/(COUNTIF($J$1:J550,$A$2:$A$65)=0),$A$2:$A$65), "G/표준;;"),"")</f>
        <v/>
      </c>
    </row>
    <row r="552" spans="10:10">
      <c r="J552" s="31" t="str">
        <f>IFERROR(TEXT(LOOKUP(2,1/(COUNTIF($J$1:J551,$A$2:$A$65)=0),$A$2:$A$65), "G/표준;;"),"")</f>
        <v/>
      </c>
    </row>
    <row r="553" spans="10:10">
      <c r="J553" s="31" t="str">
        <f>IFERROR(TEXT(LOOKUP(2,1/(COUNTIF($J$1:J552,$A$2:$A$65)=0),$A$2:$A$65), "G/표준;;"),"")</f>
        <v/>
      </c>
    </row>
    <row r="554" spans="10:10">
      <c r="J554" s="31" t="str">
        <f>IFERROR(TEXT(LOOKUP(2,1/(COUNTIF($J$1:J553,$A$2:$A$65)=0),$A$2:$A$65), "G/표준;;"),"")</f>
        <v/>
      </c>
    </row>
    <row r="555" spans="10:10">
      <c r="J555" s="31" t="str">
        <f>IFERROR(TEXT(LOOKUP(2,1/(COUNTIF($J$1:J554,$A$2:$A$65)=0),$A$2:$A$65), "G/표준;;"),"")</f>
        <v/>
      </c>
    </row>
    <row r="556" spans="10:10">
      <c r="J556" s="31" t="str">
        <f>IFERROR(TEXT(LOOKUP(2,1/(COUNTIF($J$1:J555,$A$2:$A$65)=0),$A$2:$A$65), "G/표준;;"),"")</f>
        <v/>
      </c>
    </row>
    <row r="557" spans="10:10">
      <c r="J557" s="31" t="str">
        <f>IFERROR(TEXT(LOOKUP(2,1/(COUNTIF($J$1:J556,$A$2:$A$65)=0),$A$2:$A$65), "G/표준;;"),"")</f>
        <v/>
      </c>
    </row>
    <row r="558" spans="10:10">
      <c r="J558" s="31" t="str">
        <f>IFERROR(TEXT(LOOKUP(2,1/(COUNTIF($J$1:J557,$A$2:$A$65)=0),$A$2:$A$65), "G/표준;;"),"")</f>
        <v/>
      </c>
    </row>
    <row r="559" spans="10:10">
      <c r="J559" s="31" t="str">
        <f>IFERROR(TEXT(LOOKUP(2,1/(COUNTIF($J$1:J558,$A$2:$A$65)=0),$A$2:$A$65), "G/표준;;"),"")</f>
        <v/>
      </c>
    </row>
    <row r="560" spans="10:10">
      <c r="J560" s="31" t="str">
        <f>IFERROR(TEXT(LOOKUP(2,1/(COUNTIF($J$1:J559,$A$2:$A$65)=0),$A$2:$A$65), "G/표준;;"),"")</f>
        <v/>
      </c>
    </row>
    <row r="561" spans="10:10">
      <c r="J561" s="31" t="str">
        <f>IFERROR(TEXT(LOOKUP(2,1/(COUNTIF($J$1:J560,$A$2:$A$65)=0),$A$2:$A$65), "G/표준;;"),"")</f>
        <v/>
      </c>
    </row>
    <row r="562" spans="10:10">
      <c r="J562" s="31" t="str">
        <f>IFERROR(TEXT(LOOKUP(2,1/(COUNTIF($J$1:J561,$A$2:$A$65)=0),$A$2:$A$65), "G/표준;;"),"")</f>
        <v/>
      </c>
    </row>
    <row r="563" spans="10:10">
      <c r="J563" s="31" t="str">
        <f>IFERROR(TEXT(LOOKUP(2,1/(COUNTIF($J$1:J562,$A$2:$A$65)=0),$A$2:$A$65), "G/표준;;"),"")</f>
        <v/>
      </c>
    </row>
    <row r="564" spans="10:10">
      <c r="J564" s="31" t="str">
        <f>IFERROR(TEXT(LOOKUP(2,1/(COUNTIF($J$1:J563,$A$2:$A$65)=0),$A$2:$A$65), "G/표준;;"),"")</f>
        <v/>
      </c>
    </row>
    <row r="565" spans="10:10">
      <c r="J565" s="31" t="str">
        <f>IFERROR(TEXT(LOOKUP(2,1/(COUNTIF($J$1:J564,$A$2:$A$65)=0),$A$2:$A$65), "G/표준;;"),"")</f>
        <v/>
      </c>
    </row>
    <row r="566" spans="10:10">
      <c r="J566" s="31" t="str">
        <f>IFERROR(TEXT(LOOKUP(2,1/(COUNTIF($J$1:J565,$A$2:$A$65)=0),$A$2:$A$65), "G/표준;;"),"")</f>
        <v/>
      </c>
    </row>
    <row r="567" spans="10:10">
      <c r="J567" s="31" t="str">
        <f>IFERROR(TEXT(LOOKUP(2,1/(COUNTIF($J$1:J566,$A$2:$A$65)=0),$A$2:$A$65), "G/표준;;"),"")</f>
        <v/>
      </c>
    </row>
    <row r="568" spans="10:10">
      <c r="J568" s="31" t="str">
        <f>IFERROR(TEXT(LOOKUP(2,1/(COUNTIF($J$1:J567,$A$2:$A$65)=0),$A$2:$A$65), "G/표준;;"),"")</f>
        <v/>
      </c>
    </row>
    <row r="569" spans="10:10">
      <c r="J569" s="31" t="str">
        <f>IFERROR(TEXT(LOOKUP(2,1/(COUNTIF($J$1:J568,$A$2:$A$65)=0),$A$2:$A$65), "G/표준;;"),"")</f>
        <v/>
      </c>
    </row>
    <row r="570" spans="10:10">
      <c r="J570" s="31" t="str">
        <f>IFERROR(TEXT(LOOKUP(2,1/(COUNTIF($J$1:J569,$A$2:$A$65)=0),$A$2:$A$65), "G/표준;;"),"")</f>
        <v/>
      </c>
    </row>
    <row r="571" spans="10:10">
      <c r="J571" s="31" t="str">
        <f>IFERROR(TEXT(LOOKUP(2,1/(COUNTIF($J$1:J570,$A$2:$A$65)=0),$A$2:$A$65), "G/표준;;"),"")</f>
        <v/>
      </c>
    </row>
    <row r="572" spans="10:10">
      <c r="J572" s="31" t="str">
        <f>IFERROR(TEXT(LOOKUP(2,1/(COUNTIF($J$1:J571,$A$2:$A$65)=0),$A$2:$A$65), "G/표준;;"),"")</f>
        <v/>
      </c>
    </row>
    <row r="573" spans="10:10">
      <c r="J573" s="31" t="str">
        <f>IFERROR(TEXT(LOOKUP(2,1/(COUNTIF($J$1:J572,$A$2:$A$65)=0),$A$2:$A$65), "G/표준;;"),"")</f>
        <v/>
      </c>
    </row>
    <row r="574" spans="10:10">
      <c r="J574" s="31" t="str">
        <f>IFERROR(TEXT(LOOKUP(2,1/(COUNTIF($J$1:J573,$A$2:$A$65)=0),$A$2:$A$65), "G/표준;;"),"")</f>
        <v/>
      </c>
    </row>
    <row r="575" spans="10:10">
      <c r="J575" s="31" t="str">
        <f>IFERROR(TEXT(LOOKUP(2,1/(COUNTIF($J$1:J574,$A$2:$A$65)=0),$A$2:$A$65), "G/표준;;"),"")</f>
        <v/>
      </c>
    </row>
    <row r="576" spans="10:10">
      <c r="J576" s="31" t="str">
        <f>IFERROR(TEXT(LOOKUP(2,1/(COUNTIF($J$1:J575,$A$2:$A$65)=0),$A$2:$A$65), "G/표준;;"),"")</f>
        <v/>
      </c>
    </row>
    <row r="577" spans="10:10">
      <c r="J577" s="31" t="str">
        <f>IFERROR(TEXT(LOOKUP(2,1/(COUNTIF($J$1:J576,$A$2:$A$65)=0),$A$2:$A$65), "G/표준;;"),"")</f>
        <v/>
      </c>
    </row>
    <row r="578" spans="10:10">
      <c r="J578" s="31" t="str">
        <f>IFERROR(TEXT(LOOKUP(2,1/(COUNTIF($J$1:J577,$A$2:$A$65)=0),$A$2:$A$65), "G/표준;;"),"")</f>
        <v/>
      </c>
    </row>
    <row r="579" spans="10:10">
      <c r="J579" s="31" t="str">
        <f>IFERROR(TEXT(LOOKUP(2,1/(COUNTIF($J$1:J578,$A$2:$A$65)=0),$A$2:$A$65), "G/표준;;"),"")</f>
        <v/>
      </c>
    </row>
    <row r="580" spans="10:10">
      <c r="J580" s="31" t="str">
        <f>IFERROR(TEXT(LOOKUP(2,1/(COUNTIF($J$1:J579,$A$2:$A$65)=0),$A$2:$A$65), "G/표준;;"),"")</f>
        <v/>
      </c>
    </row>
    <row r="581" spans="10:10">
      <c r="J581" s="31" t="str">
        <f>IFERROR(TEXT(LOOKUP(2,1/(COUNTIF($J$1:J580,$A$2:$A$65)=0),$A$2:$A$65), "G/표준;;"),"")</f>
        <v/>
      </c>
    </row>
    <row r="582" spans="10:10">
      <c r="J582" s="31" t="str">
        <f>IFERROR(TEXT(LOOKUP(2,1/(COUNTIF($J$1:J581,$A$2:$A$65)=0),$A$2:$A$65), "G/표준;;"),"")</f>
        <v/>
      </c>
    </row>
    <row r="583" spans="10:10">
      <c r="J583" s="31" t="str">
        <f>IFERROR(TEXT(LOOKUP(2,1/(COUNTIF($J$1:J582,$A$2:$A$65)=0),$A$2:$A$65), "G/표준;;"),"")</f>
        <v/>
      </c>
    </row>
    <row r="584" spans="10:10">
      <c r="J584" s="31" t="str">
        <f>IFERROR(TEXT(LOOKUP(2,1/(COUNTIF($J$1:J583,$A$2:$A$65)=0),$A$2:$A$65), "G/표준;;"),"")</f>
        <v/>
      </c>
    </row>
    <row r="585" spans="10:10">
      <c r="J585" s="31" t="str">
        <f>IFERROR(TEXT(LOOKUP(2,1/(COUNTIF($J$1:J584,$A$2:$A$65)=0),$A$2:$A$65), "G/표준;;"),"")</f>
        <v/>
      </c>
    </row>
    <row r="586" spans="10:10">
      <c r="J586" s="31" t="str">
        <f>IFERROR(TEXT(LOOKUP(2,1/(COUNTIF($J$1:J585,$A$2:$A$65)=0),$A$2:$A$65), "G/표준;;"),"")</f>
        <v/>
      </c>
    </row>
    <row r="587" spans="10:10">
      <c r="J587" s="31" t="str">
        <f>IFERROR(TEXT(LOOKUP(2,1/(COUNTIF($J$1:J586,$A$2:$A$65)=0),$A$2:$A$65), "G/표준;;"),"")</f>
        <v/>
      </c>
    </row>
    <row r="588" spans="10:10">
      <c r="J588" s="31" t="str">
        <f>IFERROR(TEXT(LOOKUP(2,1/(COUNTIF($J$1:J587,$A$2:$A$65)=0),$A$2:$A$65), "G/표준;;"),"")</f>
        <v/>
      </c>
    </row>
    <row r="589" spans="10:10">
      <c r="J589" s="31" t="str">
        <f>IFERROR(TEXT(LOOKUP(2,1/(COUNTIF($J$1:J588,$A$2:$A$65)=0),$A$2:$A$65), "G/표준;;"),"")</f>
        <v/>
      </c>
    </row>
    <row r="590" spans="10:10">
      <c r="J590" s="31" t="str">
        <f>IFERROR(TEXT(LOOKUP(2,1/(COUNTIF($J$1:J589,$A$2:$A$65)=0),$A$2:$A$65), "G/표준;;"),"")</f>
        <v/>
      </c>
    </row>
    <row r="591" spans="10:10">
      <c r="J591" s="31" t="str">
        <f>IFERROR(TEXT(LOOKUP(2,1/(COUNTIF($J$1:J590,$A$2:$A$65)=0),$A$2:$A$65), "G/표준;;"),"")</f>
        <v/>
      </c>
    </row>
    <row r="592" spans="10:10">
      <c r="J592" s="31" t="str">
        <f>IFERROR(TEXT(LOOKUP(2,1/(COUNTIF($J$1:J591,$A$2:$A$65)=0),$A$2:$A$65), "G/표준;;"),"")</f>
        <v/>
      </c>
    </row>
    <row r="593" spans="10:10">
      <c r="J593" s="31" t="str">
        <f>IFERROR(TEXT(LOOKUP(2,1/(COUNTIF($J$1:J592,$A$2:$A$65)=0),$A$2:$A$65), "G/표준;;"),"")</f>
        <v/>
      </c>
    </row>
    <row r="594" spans="10:10">
      <c r="J594" s="31" t="str">
        <f>IFERROR(TEXT(LOOKUP(2,1/(COUNTIF($J$1:J593,$A$2:$A$65)=0),$A$2:$A$65), "G/표준;;"),"")</f>
        <v/>
      </c>
    </row>
    <row r="595" spans="10:10">
      <c r="J595" s="31" t="str">
        <f>IFERROR(TEXT(LOOKUP(2,1/(COUNTIF($J$1:J594,$A$2:$A$65)=0),$A$2:$A$65), "G/표준;;"),"")</f>
        <v/>
      </c>
    </row>
    <row r="596" spans="10:10">
      <c r="J596" s="31" t="str">
        <f>IFERROR(TEXT(LOOKUP(2,1/(COUNTIF($J$1:J595,$A$2:$A$65)=0),$A$2:$A$65), "G/표준;;"),"")</f>
        <v/>
      </c>
    </row>
    <row r="597" spans="10:10">
      <c r="J597" s="31" t="str">
        <f>IFERROR(TEXT(LOOKUP(2,1/(COUNTIF($J$1:J596,$A$2:$A$65)=0),$A$2:$A$65), "G/표준;;"),"")</f>
        <v/>
      </c>
    </row>
    <row r="598" spans="10:10">
      <c r="J598" s="31" t="str">
        <f>IFERROR(TEXT(LOOKUP(2,1/(COUNTIF($J$1:J597,$A$2:$A$65)=0),$A$2:$A$65), "G/표준;;"),"")</f>
        <v/>
      </c>
    </row>
    <row r="599" spans="10:10">
      <c r="J599" s="31" t="str">
        <f>IFERROR(TEXT(LOOKUP(2,1/(COUNTIF($J$1:J598,$A$2:$A$65)=0),$A$2:$A$65), "G/표준;;"),"")</f>
        <v/>
      </c>
    </row>
    <row r="600" spans="10:10">
      <c r="J600" s="31" t="str">
        <f>IFERROR(TEXT(LOOKUP(2,1/(COUNTIF($J$1:J599,$A$2:$A$65)=0),$A$2:$A$65), "G/표준;;"),"")</f>
        <v/>
      </c>
    </row>
    <row r="601" spans="10:10">
      <c r="J601" s="31" t="str">
        <f>IFERROR(TEXT(LOOKUP(2,1/(COUNTIF($J$1:J600,$A$2:$A$65)=0),$A$2:$A$65), "G/표준;;"),"")</f>
        <v/>
      </c>
    </row>
    <row r="602" spans="10:10">
      <c r="J602" s="31" t="str">
        <f>IFERROR(TEXT(LOOKUP(2,1/(COUNTIF($J$1:J601,$A$2:$A$65)=0),$A$2:$A$65), "G/표준;;"),"")</f>
        <v/>
      </c>
    </row>
    <row r="603" spans="10:10">
      <c r="J603" s="31" t="str">
        <f>IFERROR(TEXT(LOOKUP(2,1/(COUNTIF($J$1:J602,$A$2:$A$65)=0),$A$2:$A$65), "G/표준;;"),"")</f>
        <v/>
      </c>
    </row>
    <row r="604" spans="10:10">
      <c r="J604" s="31" t="str">
        <f>IFERROR(TEXT(LOOKUP(2,1/(COUNTIF($J$1:J603,$A$2:$A$65)=0),$A$2:$A$65), "G/표준;;"),"")</f>
        <v/>
      </c>
    </row>
    <row r="605" spans="10:10">
      <c r="J605" s="31" t="str">
        <f>IFERROR(TEXT(LOOKUP(2,1/(COUNTIF($J$1:J604,$A$2:$A$65)=0),$A$2:$A$65), "G/표준;;"),"")</f>
        <v/>
      </c>
    </row>
    <row r="606" spans="10:10">
      <c r="J606" s="31" t="str">
        <f>IFERROR(TEXT(LOOKUP(2,1/(COUNTIF($J$1:J605,$A$2:$A$65)=0),$A$2:$A$65), "G/표준;;"),"")</f>
        <v/>
      </c>
    </row>
    <row r="607" spans="10:10">
      <c r="J607" s="31" t="str">
        <f>IFERROR(TEXT(LOOKUP(2,1/(COUNTIF($J$1:J606,$A$2:$A$65)=0),$A$2:$A$65), "G/표준;;"),"")</f>
        <v/>
      </c>
    </row>
    <row r="608" spans="10:10">
      <c r="J608" s="31" t="str">
        <f>IFERROR(TEXT(LOOKUP(2,1/(COUNTIF($J$1:J607,$A$2:$A$65)=0),$A$2:$A$65), "G/표준;;"),"")</f>
        <v/>
      </c>
    </row>
    <row r="609" spans="10:10">
      <c r="J609" s="31" t="str">
        <f>IFERROR(TEXT(LOOKUP(2,1/(COUNTIF($J$1:J608,$A$2:$A$65)=0),$A$2:$A$65), "G/표준;;"),"")</f>
        <v/>
      </c>
    </row>
    <row r="610" spans="10:10">
      <c r="J610" s="31" t="str">
        <f>IFERROR(TEXT(LOOKUP(2,1/(COUNTIF($J$1:J609,$A$2:$A$65)=0),$A$2:$A$65), "G/표준;;"),"")</f>
        <v/>
      </c>
    </row>
    <row r="611" spans="10:10">
      <c r="J611" s="31" t="str">
        <f>IFERROR(TEXT(LOOKUP(2,1/(COUNTIF($J$1:J610,$A$2:$A$65)=0),$A$2:$A$65), "G/표준;;"),"")</f>
        <v/>
      </c>
    </row>
    <row r="612" spans="10:10">
      <c r="J612" s="31" t="str">
        <f>IFERROR(TEXT(LOOKUP(2,1/(COUNTIF($J$1:J611,$A$2:$A$65)=0),$A$2:$A$65), "G/표준;;"),"")</f>
        <v/>
      </c>
    </row>
    <row r="613" spans="10:10">
      <c r="J613" s="31" t="str">
        <f>IFERROR(TEXT(LOOKUP(2,1/(COUNTIF($J$1:J612,$A$2:$A$65)=0),$A$2:$A$65), "G/표준;;"),"")</f>
        <v/>
      </c>
    </row>
    <row r="614" spans="10:10">
      <c r="J614" s="31" t="str">
        <f>IFERROR(TEXT(LOOKUP(2,1/(COUNTIF($J$1:J613,$A$2:$A$65)=0),$A$2:$A$65), "G/표준;;"),"")</f>
        <v/>
      </c>
    </row>
    <row r="615" spans="10:10">
      <c r="J615" s="31" t="str">
        <f>IFERROR(TEXT(LOOKUP(2,1/(COUNTIF($J$1:J614,$A$2:$A$65)=0),$A$2:$A$65), "G/표준;;"),"")</f>
        <v/>
      </c>
    </row>
    <row r="616" spans="10:10">
      <c r="J616" s="31" t="str">
        <f>IFERROR(TEXT(LOOKUP(2,1/(COUNTIF($J$1:J615,$A$2:$A$65)=0),$A$2:$A$65), "G/표준;;"),"")</f>
        <v/>
      </c>
    </row>
    <row r="617" spans="10:10">
      <c r="J617" s="31" t="str">
        <f>IFERROR(TEXT(LOOKUP(2,1/(COUNTIF($J$1:J616,$A$2:$A$65)=0),$A$2:$A$65), "G/표준;;"),"")</f>
        <v/>
      </c>
    </row>
    <row r="618" spans="10:10">
      <c r="J618" s="31" t="str">
        <f>IFERROR(TEXT(LOOKUP(2,1/(COUNTIF($J$1:J617,$A$2:$A$65)=0),$A$2:$A$65), "G/표준;;"),"")</f>
        <v/>
      </c>
    </row>
    <row r="619" spans="10:10">
      <c r="J619" s="31" t="str">
        <f>IFERROR(TEXT(LOOKUP(2,1/(COUNTIF($J$1:J618,$A$2:$A$65)=0),$A$2:$A$65), "G/표준;;"),"")</f>
        <v/>
      </c>
    </row>
    <row r="620" spans="10:10">
      <c r="J620" s="31" t="str">
        <f>IFERROR(TEXT(LOOKUP(2,1/(COUNTIF($J$1:J619,$A$2:$A$65)=0),$A$2:$A$65), "G/표준;;"),"")</f>
        <v/>
      </c>
    </row>
    <row r="621" spans="10:10">
      <c r="J621" s="31" t="str">
        <f>IFERROR(TEXT(LOOKUP(2,1/(COUNTIF($J$1:J620,$A$2:$A$65)=0),$A$2:$A$65), "G/표준;;"),"")</f>
        <v/>
      </c>
    </row>
    <row r="622" spans="10:10">
      <c r="J622" s="31" t="str">
        <f>IFERROR(TEXT(LOOKUP(2,1/(COUNTIF($J$1:J621,$A$2:$A$65)=0),$A$2:$A$65), "G/표준;;"),"")</f>
        <v/>
      </c>
    </row>
    <row r="623" spans="10:10">
      <c r="J623" s="31" t="str">
        <f>IFERROR(TEXT(LOOKUP(2,1/(COUNTIF($J$1:J622,$A$2:$A$65)=0),$A$2:$A$65), "G/표준;;"),"")</f>
        <v/>
      </c>
    </row>
    <row r="624" spans="10:10">
      <c r="J624" s="31" t="str">
        <f>IFERROR(TEXT(LOOKUP(2,1/(COUNTIF($J$1:J623,$A$2:$A$65)=0),$A$2:$A$65), "G/표준;;"),"")</f>
        <v/>
      </c>
    </row>
    <row r="625" spans="10:10">
      <c r="J625" s="31" t="str">
        <f>IFERROR(TEXT(LOOKUP(2,1/(COUNTIF($J$1:J624,$A$2:$A$65)=0),$A$2:$A$65), "G/표준;;"),"")</f>
        <v/>
      </c>
    </row>
    <row r="626" spans="10:10">
      <c r="J626" s="31" t="str">
        <f>IFERROR(TEXT(LOOKUP(2,1/(COUNTIF($J$1:J625,$A$2:$A$65)=0),$A$2:$A$65), "G/표준;;"),"")</f>
        <v/>
      </c>
    </row>
    <row r="627" spans="10:10">
      <c r="J627" s="31" t="str">
        <f>IFERROR(TEXT(LOOKUP(2,1/(COUNTIF($J$1:J626,$A$2:$A$65)=0),$A$2:$A$65), "G/표준;;"),"")</f>
        <v/>
      </c>
    </row>
    <row r="628" spans="10:10">
      <c r="J628" s="31" t="str">
        <f>IFERROR(TEXT(LOOKUP(2,1/(COUNTIF($J$1:J627,$A$2:$A$65)=0),$A$2:$A$65), "G/표준;;"),"")</f>
        <v/>
      </c>
    </row>
    <row r="629" spans="10:10">
      <c r="J629" s="31" t="str">
        <f>IFERROR(TEXT(LOOKUP(2,1/(COUNTIF($J$1:J628,$A$2:$A$65)=0),$A$2:$A$65), "G/표준;;"),"")</f>
        <v/>
      </c>
    </row>
    <row r="630" spans="10:10">
      <c r="J630" s="31" t="str">
        <f>IFERROR(TEXT(LOOKUP(2,1/(COUNTIF($J$1:J629,$A$2:$A$65)=0),$A$2:$A$65), "G/표준;;"),"")</f>
        <v/>
      </c>
    </row>
    <row r="631" spans="10:10">
      <c r="J631" s="31" t="str">
        <f>IFERROR(TEXT(LOOKUP(2,1/(COUNTIF($J$1:J630,$A$2:$A$65)=0),$A$2:$A$65), "G/표준;;"),"")</f>
        <v/>
      </c>
    </row>
    <row r="632" spans="10:10">
      <c r="J632" s="31" t="str">
        <f>IFERROR(TEXT(LOOKUP(2,1/(COUNTIF($J$1:J631,$A$2:$A$65)=0),$A$2:$A$65), "G/표준;;"),"")</f>
        <v/>
      </c>
    </row>
    <row r="633" spans="10:10">
      <c r="J633" s="31" t="str">
        <f>IFERROR(TEXT(LOOKUP(2,1/(COUNTIF($J$1:J632,$A$2:$A$65)=0),$A$2:$A$65), "G/표준;;"),"")</f>
        <v/>
      </c>
    </row>
    <row r="634" spans="10:10">
      <c r="J634" s="31" t="str">
        <f>IFERROR(TEXT(LOOKUP(2,1/(COUNTIF($J$1:J633,$A$2:$A$65)=0),$A$2:$A$65), "G/표준;;"),"")</f>
        <v/>
      </c>
    </row>
    <row r="635" spans="10:10">
      <c r="J635" s="31" t="str">
        <f>IFERROR(TEXT(LOOKUP(2,1/(COUNTIF($J$1:J634,$A$2:$A$65)=0),$A$2:$A$65), "G/표준;;"),"")</f>
        <v/>
      </c>
    </row>
    <row r="636" spans="10:10">
      <c r="J636" s="31" t="str">
        <f>IFERROR(TEXT(LOOKUP(2,1/(COUNTIF($J$1:J635,$A$2:$A$65)=0),$A$2:$A$65), "G/표준;;"),"")</f>
        <v/>
      </c>
    </row>
    <row r="637" spans="10:10">
      <c r="J637" s="31" t="str">
        <f>IFERROR(TEXT(LOOKUP(2,1/(COUNTIF($J$1:J636,$A$2:$A$65)=0),$A$2:$A$65), "G/표준;;"),"")</f>
        <v/>
      </c>
    </row>
    <row r="638" spans="10:10">
      <c r="J638" s="31" t="str">
        <f>IFERROR(TEXT(LOOKUP(2,1/(COUNTIF($J$1:J637,$A$2:$A$65)=0),$A$2:$A$65), "G/표준;;"),"")</f>
        <v/>
      </c>
    </row>
    <row r="639" spans="10:10">
      <c r="J639" s="31" t="str">
        <f>IFERROR(TEXT(LOOKUP(2,1/(COUNTIF($J$1:J638,$A$2:$A$65)=0),$A$2:$A$65), "G/표준;;"),"")</f>
        <v/>
      </c>
    </row>
    <row r="640" spans="10:10">
      <c r="J640" s="31" t="str">
        <f>IFERROR(TEXT(LOOKUP(2,1/(COUNTIF($J$1:J639,$A$2:$A$65)=0),$A$2:$A$65), "G/표준;;"),"")</f>
        <v/>
      </c>
    </row>
    <row r="641" spans="10:10">
      <c r="J641" s="31" t="str">
        <f>IFERROR(TEXT(LOOKUP(2,1/(COUNTIF($J$1:J640,$A$2:$A$65)=0),$A$2:$A$65), "G/표준;;"),"")</f>
        <v/>
      </c>
    </row>
    <row r="642" spans="10:10">
      <c r="J642" s="31" t="str">
        <f>IFERROR(TEXT(LOOKUP(2,1/(COUNTIF($J$1:J641,$A$2:$A$65)=0),$A$2:$A$65), "G/표준;;"),"")</f>
        <v/>
      </c>
    </row>
    <row r="643" spans="10:10">
      <c r="J643" s="31" t="str">
        <f>IFERROR(TEXT(LOOKUP(2,1/(COUNTIF($J$1:J642,$A$2:$A$65)=0),$A$2:$A$65), "G/표준;;"),"")</f>
        <v/>
      </c>
    </row>
    <row r="644" spans="10:10">
      <c r="J644" s="31" t="str">
        <f>IFERROR(TEXT(LOOKUP(2,1/(COUNTIF($J$1:J643,$A$2:$A$65)=0),$A$2:$A$65), "G/표준;;"),"")</f>
        <v/>
      </c>
    </row>
    <row r="645" spans="10:10">
      <c r="J645" s="31" t="str">
        <f>IFERROR(TEXT(LOOKUP(2,1/(COUNTIF($J$1:J644,$A$2:$A$65)=0),$A$2:$A$65), "G/표준;;"),"")</f>
        <v/>
      </c>
    </row>
    <row r="646" spans="10:10">
      <c r="J646" s="31" t="str">
        <f>IFERROR(TEXT(LOOKUP(2,1/(COUNTIF($J$1:J645,$A$2:$A$65)=0),$A$2:$A$65), "G/표준;;"),"")</f>
        <v/>
      </c>
    </row>
    <row r="647" spans="10:10">
      <c r="J647" s="31" t="str">
        <f>IFERROR(TEXT(LOOKUP(2,1/(COUNTIF($J$1:J646,$A$2:$A$65)=0),$A$2:$A$65), "G/표준;;"),"")</f>
        <v/>
      </c>
    </row>
    <row r="648" spans="10:10">
      <c r="J648" s="31" t="str">
        <f>IFERROR(TEXT(LOOKUP(2,1/(COUNTIF($J$1:J647,$A$2:$A$65)=0),$A$2:$A$65), "G/표준;;"),"")</f>
        <v/>
      </c>
    </row>
    <row r="649" spans="10:10">
      <c r="J649" s="31" t="str">
        <f>IFERROR(TEXT(LOOKUP(2,1/(COUNTIF($J$1:J648,$A$2:$A$65)=0),$A$2:$A$65), "G/표준;;"),"")</f>
        <v/>
      </c>
    </row>
    <row r="650" spans="10:10">
      <c r="J650" s="31" t="str">
        <f>IFERROR(TEXT(LOOKUP(2,1/(COUNTIF($J$1:J649,$A$2:$A$65)=0),$A$2:$A$65), "G/표준;;"),"")</f>
        <v/>
      </c>
    </row>
    <row r="651" spans="10:10">
      <c r="J651" s="31" t="str">
        <f>IFERROR(TEXT(LOOKUP(2,1/(COUNTIF($J$1:J650,$A$2:$A$65)=0),$A$2:$A$65), "G/표준;;"),"")</f>
        <v/>
      </c>
    </row>
    <row r="652" spans="10:10">
      <c r="J652" s="31" t="str">
        <f>IFERROR(TEXT(LOOKUP(2,1/(COUNTIF($J$1:J651,$A$2:$A$65)=0),$A$2:$A$65), "G/표준;;"),"")</f>
        <v/>
      </c>
    </row>
    <row r="653" spans="10:10">
      <c r="J653" s="31" t="str">
        <f>IFERROR(TEXT(LOOKUP(2,1/(COUNTIF($J$1:J652,$A$2:$A$65)=0),$A$2:$A$65), "G/표준;;"),"")</f>
        <v/>
      </c>
    </row>
    <row r="654" spans="10:10">
      <c r="J654" s="31" t="str">
        <f>IFERROR(TEXT(LOOKUP(2,1/(COUNTIF($J$1:J653,$A$2:$A$65)=0),$A$2:$A$65), "G/표준;;"),"")</f>
        <v/>
      </c>
    </row>
    <row r="655" spans="10:10">
      <c r="J655" s="31" t="str">
        <f>IFERROR(TEXT(LOOKUP(2,1/(COUNTIF($J$1:J654,$A$2:$A$65)=0),$A$2:$A$65), "G/표준;;"),"")</f>
        <v/>
      </c>
    </row>
    <row r="656" spans="10:10">
      <c r="J656" s="31" t="str">
        <f>IFERROR(TEXT(LOOKUP(2,1/(COUNTIF($J$1:J655,$A$2:$A$65)=0),$A$2:$A$65), "G/표준;;"),"")</f>
        <v/>
      </c>
    </row>
    <row r="657" spans="10:10">
      <c r="J657" s="31" t="str">
        <f>IFERROR(TEXT(LOOKUP(2,1/(COUNTIF($J$1:J656,$A$2:$A$65)=0),$A$2:$A$65), "G/표준;;"),"")</f>
        <v/>
      </c>
    </row>
    <row r="658" spans="10:10">
      <c r="J658" s="31" t="str">
        <f>IFERROR(TEXT(LOOKUP(2,1/(COUNTIF($J$1:J657,$A$2:$A$65)=0),$A$2:$A$65), "G/표준;;"),"")</f>
        <v/>
      </c>
    </row>
    <row r="659" spans="10:10">
      <c r="J659" s="31" t="str">
        <f>IFERROR(TEXT(LOOKUP(2,1/(COUNTIF($J$1:J658,$A$2:$A$65)=0),$A$2:$A$65), "G/표준;;"),"")</f>
        <v/>
      </c>
    </row>
    <row r="660" spans="10:10">
      <c r="J660" s="31" t="str">
        <f>IFERROR(TEXT(LOOKUP(2,1/(COUNTIF($J$1:J659,$A$2:$A$65)=0),$A$2:$A$65), "G/표준;;"),"")</f>
        <v/>
      </c>
    </row>
    <row r="661" spans="10:10">
      <c r="J661" s="31" t="str">
        <f>IFERROR(TEXT(LOOKUP(2,1/(COUNTIF($J$1:J660,$A$2:$A$65)=0),$A$2:$A$65), "G/표준;;"),"")</f>
        <v/>
      </c>
    </row>
    <row r="662" spans="10:10">
      <c r="J662" s="31" t="str">
        <f>IFERROR(TEXT(LOOKUP(2,1/(COUNTIF($J$1:J661,$A$2:$A$65)=0),$A$2:$A$65), "G/표준;;"),"")</f>
        <v/>
      </c>
    </row>
    <row r="663" spans="10:10">
      <c r="J663" s="31" t="str">
        <f>IFERROR(TEXT(LOOKUP(2,1/(COUNTIF($J$1:J662,$A$2:$A$65)=0),$A$2:$A$65), "G/표준;;"),"")</f>
        <v/>
      </c>
    </row>
    <row r="664" spans="10:10">
      <c r="J664" s="31" t="str">
        <f>IFERROR(TEXT(LOOKUP(2,1/(COUNTIF($J$1:J663,$A$2:$A$65)=0),$A$2:$A$65), "G/표준;;"),"")</f>
        <v/>
      </c>
    </row>
    <row r="665" spans="10:10">
      <c r="J665" s="31" t="str">
        <f>IFERROR(TEXT(LOOKUP(2,1/(COUNTIF($J$1:J664,$A$2:$A$65)=0),$A$2:$A$65), "G/표준;;"),"")</f>
        <v/>
      </c>
    </row>
    <row r="666" spans="10:10">
      <c r="J666" s="31" t="str">
        <f>IFERROR(TEXT(LOOKUP(2,1/(COUNTIF($J$1:J665,$A$2:$A$65)=0),$A$2:$A$65), "G/표준;;"),"")</f>
        <v/>
      </c>
    </row>
    <row r="667" spans="10:10">
      <c r="J667" s="31" t="str">
        <f>IFERROR(TEXT(LOOKUP(2,1/(COUNTIF($J$1:J666,$A$2:$A$65)=0),$A$2:$A$65), "G/표준;;"),"")</f>
        <v/>
      </c>
    </row>
    <row r="668" spans="10:10">
      <c r="J668" s="31" t="str">
        <f>IFERROR(TEXT(LOOKUP(2,1/(COUNTIF($J$1:J667,$A$2:$A$65)=0),$A$2:$A$65), "G/표준;;"),"")</f>
        <v/>
      </c>
    </row>
    <row r="669" spans="10:10">
      <c r="J669" s="31" t="str">
        <f>IFERROR(TEXT(LOOKUP(2,1/(COUNTIF($J$1:J668,$A$2:$A$65)=0),$A$2:$A$65), "G/표준;;"),"")</f>
        <v/>
      </c>
    </row>
    <row r="670" spans="10:10">
      <c r="J670" s="31" t="str">
        <f>IFERROR(TEXT(LOOKUP(2,1/(COUNTIF($J$1:J669,$A$2:$A$65)=0),$A$2:$A$65), "G/표준;;"),"")</f>
        <v/>
      </c>
    </row>
    <row r="671" spans="10:10">
      <c r="J671" s="31" t="str">
        <f>IFERROR(TEXT(LOOKUP(2,1/(COUNTIF($J$1:J670,$A$2:$A$65)=0),$A$2:$A$65), "G/표준;;"),"")</f>
        <v/>
      </c>
    </row>
    <row r="672" spans="10:10">
      <c r="J672" s="31" t="str">
        <f>IFERROR(TEXT(LOOKUP(2,1/(COUNTIF($J$1:J671,$A$2:$A$65)=0),$A$2:$A$65), "G/표준;;"),"")</f>
        <v/>
      </c>
    </row>
    <row r="673" spans="10:10">
      <c r="J673" s="31" t="str">
        <f>IFERROR(TEXT(LOOKUP(2,1/(COUNTIF($J$1:J672,$A$2:$A$65)=0),$A$2:$A$65), "G/표준;;"),"")</f>
        <v/>
      </c>
    </row>
    <row r="674" spans="10:10">
      <c r="J674" s="31" t="str">
        <f>IFERROR(TEXT(LOOKUP(2,1/(COUNTIF($J$1:J673,$A$2:$A$65)=0),$A$2:$A$65), "G/표준;;"),"")</f>
        <v/>
      </c>
    </row>
    <row r="675" spans="10:10">
      <c r="J675" s="31" t="str">
        <f>IFERROR(TEXT(LOOKUP(2,1/(COUNTIF($J$1:J674,$A$2:$A$65)=0),$A$2:$A$65), "G/표준;;"),"")</f>
        <v/>
      </c>
    </row>
    <row r="676" spans="10:10">
      <c r="J676" s="31" t="str">
        <f>IFERROR(TEXT(LOOKUP(2,1/(COUNTIF($J$1:J675,$A$2:$A$65)=0),$A$2:$A$65), "G/표준;;"),"")</f>
        <v/>
      </c>
    </row>
    <row r="677" spans="10:10">
      <c r="J677" s="31" t="str">
        <f>IFERROR(TEXT(LOOKUP(2,1/(COUNTIF($J$1:J676,$A$2:$A$65)=0),$A$2:$A$65), "G/표준;;"),"")</f>
        <v/>
      </c>
    </row>
    <row r="678" spans="10:10">
      <c r="J678" s="31" t="str">
        <f>IFERROR(TEXT(LOOKUP(2,1/(COUNTIF($J$1:J677,$A$2:$A$65)=0),$A$2:$A$65), "G/표준;;"),"")</f>
        <v/>
      </c>
    </row>
    <row r="679" spans="10:10">
      <c r="J679" s="31" t="str">
        <f>IFERROR(TEXT(LOOKUP(2,1/(COUNTIF($J$1:J678,$A$2:$A$65)=0),$A$2:$A$65), "G/표준;;"),"")</f>
        <v/>
      </c>
    </row>
    <row r="680" spans="10:10">
      <c r="J680" s="31" t="str">
        <f>IFERROR(TEXT(LOOKUP(2,1/(COUNTIF($J$1:J679,$A$2:$A$65)=0),$A$2:$A$65), "G/표준;;"),"")</f>
        <v/>
      </c>
    </row>
    <row r="681" spans="10:10">
      <c r="J681" s="31" t="str">
        <f>IFERROR(TEXT(LOOKUP(2,1/(COUNTIF($J$1:J680,$A$2:$A$65)=0),$A$2:$A$65), "G/표준;;"),"")</f>
        <v/>
      </c>
    </row>
    <row r="682" spans="10:10">
      <c r="J682" s="31" t="str">
        <f>IFERROR(TEXT(LOOKUP(2,1/(COUNTIF($J$1:J681,$A$2:$A$65)=0),$A$2:$A$65), "G/표준;;"),"")</f>
        <v/>
      </c>
    </row>
    <row r="683" spans="10:10">
      <c r="J683" s="31" t="str">
        <f>IFERROR(TEXT(LOOKUP(2,1/(COUNTIF($J$1:J682,$A$2:$A$65)=0),$A$2:$A$65), "G/표준;;"),"")</f>
        <v/>
      </c>
    </row>
    <row r="684" spans="10:10">
      <c r="J684" s="31" t="str">
        <f>IFERROR(TEXT(LOOKUP(2,1/(COUNTIF($J$1:J683,$A$2:$A$65)=0),$A$2:$A$65), "G/표준;;"),"")</f>
        <v/>
      </c>
    </row>
    <row r="685" spans="10:10">
      <c r="J685" s="31" t="str">
        <f>IFERROR(TEXT(LOOKUP(2,1/(COUNTIF($J$1:J684,$A$2:$A$65)=0),$A$2:$A$65), "G/표준;;"),"")</f>
        <v/>
      </c>
    </row>
    <row r="686" spans="10:10">
      <c r="J686" s="31" t="str">
        <f>IFERROR(TEXT(LOOKUP(2,1/(COUNTIF($J$1:J685,$A$2:$A$65)=0),$A$2:$A$65), "G/표준;;"),"")</f>
        <v/>
      </c>
    </row>
    <row r="687" spans="10:10">
      <c r="J687" s="31" t="str">
        <f>IFERROR(TEXT(LOOKUP(2,1/(COUNTIF($J$1:J686,$A$2:$A$65)=0),$A$2:$A$65), "G/표준;;"),"")</f>
        <v/>
      </c>
    </row>
    <row r="688" spans="10:10">
      <c r="J688" s="31" t="str">
        <f>IFERROR(TEXT(LOOKUP(2,1/(COUNTIF($J$1:J687,$A$2:$A$65)=0),$A$2:$A$65), "G/표준;;"),"")</f>
        <v/>
      </c>
    </row>
    <row r="689" spans="10:10">
      <c r="J689" s="31" t="str">
        <f>IFERROR(TEXT(LOOKUP(2,1/(COUNTIF($J$1:J688,$A$2:$A$65)=0),$A$2:$A$65), "G/표준;;"),"")</f>
        <v/>
      </c>
    </row>
    <row r="690" spans="10:10">
      <c r="J690" s="31" t="str">
        <f>IFERROR(TEXT(LOOKUP(2,1/(COUNTIF($J$1:J689,$A$2:$A$65)=0),$A$2:$A$65), "G/표준;;"),"")</f>
        <v/>
      </c>
    </row>
    <row r="691" spans="10:10">
      <c r="J691" s="31" t="str">
        <f>IFERROR(TEXT(LOOKUP(2,1/(COUNTIF($J$1:J690,$A$2:$A$65)=0),$A$2:$A$65), "G/표준;;"),"")</f>
        <v/>
      </c>
    </row>
    <row r="692" spans="10:10">
      <c r="J692" s="31" t="str">
        <f>IFERROR(TEXT(LOOKUP(2,1/(COUNTIF($J$1:J691,$A$2:$A$65)=0),$A$2:$A$65), "G/표준;;"),"")</f>
        <v/>
      </c>
    </row>
    <row r="693" spans="10:10">
      <c r="J693" s="31" t="str">
        <f>IFERROR(TEXT(LOOKUP(2,1/(COUNTIF($J$1:J692,$A$2:$A$65)=0),$A$2:$A$65), "G/표준;;"),"")</f>
        <v/>
      </c>
    </row>
    <row r="694" spans="10:10">
      <c r="J694" s="31" t="str">
        <f>IFERROR(TEXT(LOOKUP(2,1/(COUNTIF($J$1:J693,$A$2:$A$65)=0),$A$2:$A$65), "G/표준;;"),"")</f>
        <v/>
      </c>
    </row>
    <row r="695" spans="10:10">
      <c r="J695" s="31" t="str">
        <f>IFERROR(TEXT(LOOKUP(2,1/(COUNTIF($J$1:J694,$A$2:$A$65)=0),$A$2:$A$65), "G/표준;;"),"")</f>
        <v/>
      </c>
    </row>
    <row r="696" spans="10:10">
      <c r="J696" s="31" t="str">
        <f>IFERROR(TEXT(LOOKUP(2,1/(COUNTIF($J$1:J695,$A$2:$A$65)=0),$A$2:$A$65), "G/표준;;"),"")</f>
        <v/>
      </c>
    </row>
    <row r="697" spans="10:10">
      <c r="J697" s="31" t="str">
        <f>IFERROR(TEXT(LOOKUP(2,1/(COUNTIF($J$1:J696,$A$2:$A$65)=0),$A$2:$A$65), "G/표준;;"),"")</f>
        <v/>
      </c>
    </row>
    <row r="698" spans="10:10">
      <c r="J698" s="31" t="str">
        <f>IFERROR(TEXT(LOOKUP(2,1/(COUNTIF($J$1:J697,$A$2:$A$65)=0),$A$2:$A$65), "G/표준;;"),"")</f>
        <v/>
      </c>
    </row>
    <row r="699" spans="10:10">
      <c r="J699" s="31" t="str">
        <f>IFERROR(TEXT(LOOKUP(2,1/(COUNTIF($J$1:J698,$A$2:$A$65)=0),$A$2:$A$65), "G/표준;;"),"")</f>
        <v/>
      </c>
    </row>
    <row r="700" spans="10:10">
      <c r="J700" s="31" t="str">
        <f>IFERROR(TEXT(LOOKUP(2,1/(COUNTIF($J$1:J699,$A$2:$A$65)=0),$A$2:$A$65), "G/표준;;"),"")</f>
        <v/>
      </c>
    </row>
    <row r="701" spans="10:10">
      <c r="J701" s="31" t="str">
        <f>IFERROR(TEXT(LOOKUP(2,1/(COUNTIF($J$1:J700,$A$2:$A$65)=0),$A$2:$A$65), "G/표준;;"),"")</f>
        <v/>
      </c>
    </row>
    <row r="702" spans="10:10">
      <c r="J702" s="31" t="str">
        <f>IFERROR(TEXT(LOOKUP(2,1/(COUNTIF($J$1:J701,$A$2:$A$65)=0),$A$2:$A$65), "G/표준;;"),"")</f>
        <v/>
      </c>
    </row>
    <row r="703" spans="10:10">
      <c r="J703" s="31" t="str">
        <f>IFERROR(TEXT(LOOKUP(2,1/(COUNTIF($J$1:J702,$A$2:$A$65)=0),$A$2:$A$65), "G/표준;;"),"")</f>
        <v/>
      </c>
    </row>
    <row r="704" spans="10:10">
      <c r="J704" s="31" t="str">
        <f>IFERROR(TEXT(LOOKUP(2,1/(COUNTIF($J$1:J703,$A$2:$A$65)=0),$A$2:$A$65), "G/표준;;"),"")</f>
        <v/>
      </c>
    </row>
    <row r="705" spans="10:10">
      <c r="J705" s="31" t="str">
        <f>IFERROR(TEXT(LOOKUP(2,1/(COUNTIF($J$1:J704,$A$2:$A$65)=0),$A$2:$A$65), "G/표준;;"),"")</f>
        <v/>
      </c>
    </row>
    <row r="706" spans="10:10">
      <c r="J706" s="31" t="str">
        <f>IFERROR(TEXT(LOOKUP(2,1/(COUNTIF($J$1:J705,$A$2:$A$65)=0),$A$2:$A$65), "G/표준;;"),"")</f>
        <v/>
      </c>
    </row>
    <row r="707" spans="10:10">
      <c r="J707" s="31" t="str">
        <f>IFERROR(TEXT(LOOKUP(2,1/(COUNTIF($J$1:J706,$A$2:$A$65)=0),$A$2:$A$65), "G/표준;;"),"")</f>
        <v/>
      </c>
    </row>
    <row r="708" spans="10:10">
      <c r="J708" s="31" t="str">
        <f>IFERROR(TEXT(LOOKUP(2,1/(COUNTIF($J$1:J707,$A$2:$A$65)=0),$A$2:$A$65), "G/표준;;"),"")</f>
        <v/>
      </c>
    </row>
    <row r="709" spans="10:10">
      <c r="J709" s="31" t="str">
        <f>IFERROR(TEXT(LOOKUP(2,1/(COUNTIF($J$1:J708,$A$2:$A$65)=0),$A$2:$A$65), "G/표준;;"),"")</f>
        <v/>
      </c>
    </row>
    <row r="710" spans="10:10">
      <c r="J710" s="31" t="str">
        <f>IFERROR(TEXT(LOOKUP(2,1/(COUNTIF($J$1:J709,$A$2:$A$65)=0),$A$2:$A$65), "G/표준;;"),"")</f>
        <v/>
      </c>
    </row>
    <row r="711" spans="10:10">
      <c r="J711" s="31" t="str">
        <f>IFERROR(TEXT(LOOKUP(2,1/(COUNTIF($J$1:J710,$A$2:$A$65)=0),$A$2:$A$65), "G/표준;;"),"")</f>
        <v/>
      </c>
    </row>
    <row r="712" spans="10:10">
      <c r="J712" s="31" t="str">
        <f>IFERROR(TEXT(LOOKUP(2,1/(COUNTIF($J$1:J711,$A$2:$A$65)=0),$A$2:$A$65), "G/표준;;"),"")</f>
        <v/>
      </c>
    </row>
    <row r="713" spans="10:10">
      <c r="J713" s="31" t="str">
        <f>IFERROR(TEXT(LOOKUP(2,1/(COUNTIF($J$1:J712,$A$2:$A$65)=0),$A$2:$A$65), "G/표준;;"),"")</f>
        <v/>
      </c>
    </row>
    <row r="714" spans="10:10">
      <c r="J714" s="31" t="str">
        <f>IFERROR(TEXT(LOOKUP(2,1/(COUNTIF($J$1:J713,$A$2:$A$65)=0),$A$2:$A$65), "G/표준;;"),"")</f>
        <v/>
      </c>
    </row>
    <row r="715" spans="10:10">
      <c r="J715" s="31" t="str">
        <f>IFERROR(TEXT(LOOKUP(2,1/(COUNTIF($J$1:J714,$A$2:$A$65)=0),$A$2:$A$65), "G/표준;;"),"")</f>
        <v/>
      </c>
    </row>
    <row r="716" spans="10:10">
      <c r="J716" s="31" t="str">
        <f>IFERROR(TEXT(LOOKUP(2,1/(COUNTIF($J$1:J715,$A$2:$A$65)=0),$A$2:$A$65), "G/표준;;"),"")</f>
        <v/>
      </c>
    </row>
    <row r="717" spans="10:10">
      <c r="J717" s="31" t="str">
        <f>IFERROR(TEXT(LOOKUP(2,1/(COUNTIF($J$1:J716,$A$2:$A$65)=0),$A$2:$A$65), "G/표준;;"),"")</f>
        <v/>
      </c>
    </row>
    <row r="718" spans="10:10">
      <c r="J718" s="31" t="str">
        <f>IFERROR(TEXT(LOOKUP(2,1/(COUNTIF($J$1:J717,$A$2:$A$65)=0),$A$2:$A$65), "G/표준;;"),"")</f>
        <v/>
      </c>
    </row>
    <row r="719" spans="10:10">
      <c r="J719" s="31" t="str">
        <f>IFERROR(TEXT(LOOKUP(2,1/(COUNTIF($J$1:J718,$A$2:$A$65)=0),$A$2:$A$65), "G/표준;;"),"")</f>
        <v/>
      </c>
    </row>
    <row r="720" spans="10:10">
      <c r="J720" s="31" t="str">
        <f>IFERROR(TEXT(LOOKUP(2,1/(COUNTIF($J$1:J719,$A$2:$A$65)=0),$A$2:$A$65), "G/표준;;"),"")</f>
        <v/>
      </c>
    </row>
    <row r="721" spans="10:10">
      <c r="J721" s="31" t="str">
        <f>IFERROR(TEXT(LOOKUP(2,1/(COUNTIF($J$1:J720,$A$2:$A$65)=0),$A$2:$A$65), "G/표준;;"),"")</f>
        <v/>
      </c>
    </row>
    <row r="722" spans="10:10">
      <c r="J722" s="31" t="str">
        <f>IFERROR(TEXT(LOOKUP(2,1/(COUNTIF($J$1:J721,$A$2:$A$65)=0),$A$2:$A$65), "G/표준;;"),"")</f>
        <v/>
      </c>
    </row>
    <row r="723" spans="10:10">
      <c r="J723" s="31" t="str">
        <f>IFERROR(TEXT(LOOKUP(2,1/(COUNTIF($J$1:J722,$A$2:$A$65)=0),$A$2:$A$65), "G/표준;;"),"")</f>
        <v/>
      </c>
    </row>
    <row r="724" spans="10:10">
      <c r="J724" s="31" t="str">
        <f>IFERROR(TEXT(LOOKUP(2,1/(COUNTIF($J$1:J723,$A$2:$A$65)=0),$A$2:$A$65), "G/표준;;"),"")</f>
        <v/>
      </c>
    </row>
    <row r="725" spans="10:10">
      <c r="J725" s="31" t="str">
        <f>IFERROR(TEXT(LOOKUP(2,1/(COUNTIF($J$1:J724,$A$2:$A$65)=0),$A$2:$A$65), "G/표준;;"),"")</f>
        <v/>
      </c>
    </row>
    <row r="726" spans="10:10">
      <c r="J726" s="31" t="str">
        <f>IFERROR(TEXT(LOOKUP(2,1/(COUNTIF($J$1:J725,$A$2:$A$65)=0),$A$2:$A$65), "G/표준;;"),"")</f>
        <v/>
      </c>
    </row>
    <row r="727" spans="10:10">
      <c r="J727" s="31" t="str">
        <f>IFERROR(TEXT(LOOKUP(2,1/(COUNTIF($J$1:J726,$A$2:$A$65)=0),$A$2:$A$65), "G/표준;;"),"")</f>
        <v/>
      </c>
    </row>
    <row r="728" spans="10:10">
      <c r="J728" s="31" t="str">
        <f>IFERROR(TEXT(LOOKUP(2,1/(COUNTIF($J$1:J727,$A$2:$A$65)=0),$A$2:$A$65), "G/표준;;"),"")</f>
        <v/>
      </c>
    </row>
    <row r="729" spans="10:10">
      <c r="J729" s="31" t="str">
        <f>IFERROR(TEXT(LOOKUP(2,1/(COUNTIF($J$1:J728,$A$2:$A$65)=0),$A$2:$A$65), "G/표준;;"),"")</f>
        <v/>
      </c>
    </row>
    <row r="730" spans="10:10">
      <c r="J730" s="31" t="str">
        <f>IFERROR(TEXT(LOOKUP(2,1/(COUNTIF($J$1:J729,$A$2:$A$65)=0),$A$2:$A$65), "G/표준;;"),"")</f>
        <v/>
      </c>
    </row>
    <row r="731" spans="10:10">
      <c r="J731" s="31" t="str">
        <f>IFERROR(TEXT(LOOKUP(2,1/(COUNTIF($J$1:J730,$A$2:$A$65)=0),$A$2:$A$65), "G/표준;;"),"")</f>
        <v/>
      </c>
    </row>
    <row r="732" spans="10:10">
      <c r="J732" s="31" t="str">
        <f>IFERROR(TEXT(LOOKUP(2,1/(COUNTIF($J$1:J731,$A$2:$A$65)=0),$A$2:$A$65), "G/표준;;"),"")</f>
        <v/>
      </c>
    </row>
    <row r="733" spans="10:10">
      <c r="J733" s="31" t="str">
        <f>IFERROR(TEXT(LOOKUP(2,1/(COUNTIF($J$1:J732,$A$2:$A$65)=0),$A$2:$A$65), "G/표준;;"),"")</f>
        <v/>
      </c>
    </row>
    <row r="734" spans="10:10">
      <c r="J734" s="31" t="str">
        <f>IFERROR(TEXT(LOOKUP(2,1/(COUNTIF($J$1:J733,$A$2:$A$65)=0),$A$2:$A$65), "G/표준;;"),"")</f>
        <v/>
      </c>
    </row>
    <row r="735" spans="10:10">
      <c r="J735" s="31" t="str">
        <f>IFERROR(TEXT(LOOKUP(2,1/(COUNTIF($J$1:J734,$A$2:$A$65)=0),$A$2:$A$65), "G/표준;;"),"")</f>
        <v/>
      </c>
    </row>
    <row r="736" spans="10:10">
      <c r="J736" s="31" t="str">
        <f>IFERROR(TEXT(LOOKUP(2,1/(COUNTIF($J$1:J735,$A$2:$A$65)=0),$A$2:$A$65), "G/표준;;"),"")</f>
        <v/>
      </c>
    </row>
    <row r="737" spans="10:10">
      <c r="J737" s="31" t="str">
        <f>IFERROR(TEXT(LOOKUP(2,1/(COUNTIF($J$1:J736,$A$2:$A$65)=0),$A$2:$A$65), "G/표준;;"),"")</f>
        <v/>
      </c>
    </row>
    <row r="738" spans="10:10">
      <c r="J738" s="31" t="str">
        <f>IFERROR(TEXT(LOOKUP(2,1/(COUNTIF($J$1:J737,$A$2:$A$65)=0),$A$2:$A$65), "G/표준;;"),"")</f>
        <v/>
      </c>
    </row>
    <row r="739" spans="10:10">
      <c r="J739" s="31" t="str">
        <f>IFERROR(TEXT(LOOKUP(2,1/(COUNTIF($J$1:J738,$A$2:$A$65)=0),$A$2:$A$65), "G/표준;;"),"")</f>
        <v/>
      </c>
    </row>
    <row r="740" spans="10:10">
      <c r="J740" s="31" t="str">
        <f>IFERROR(TEXT(LOOKUP(2,1/(COUNTIF($J$1:J739,$A$2:$A$65)=0),$A$2:$A$65), "G/표준;;"),"")</f>
        <v/>
      </c>
    </row>
    <row r="741" spans="10:10">
      <c r="J741" s="31" t="str">
        <f>IFERROR(TEXT(LOOKUP(2,1/(COUNTIF($J$1:J740,$A$2:$A$65)=0),$A$2:$A$65), "G/표준;;"),"")</f>
        <v/>
      </c>
    </row>
    <row r="742" spans="10:10">
      <c r="J742" s="31" t="str">
        <f>IFERROR(TEXT(LOOKUP(2,1/(COUNTIF($J$1:J741,$A$2:$A$65)=0),$A$2:$A$65), "G/표준;;"),"")</f>
        <v/>
      </c>
    </row>
    <row r="743" spans="10:10">
      <c r="J743" s="31" t="str">
        <f>IFERROR(TEXT(LOOKUP(2,1/(COUNTIF($J$1:J742,$A$2:$A$65)=0),$A$2:$A$65), "G/표준;;"),"")</f>
        <v/>
      </c>
    </row>
    <row r="744" spans="10:10">
      <c r="J744" s="31" t="str">
        <f>IFERROR(TEXT(LOOKUP(2,1/(COUNTIF($J$1:J743,$A$2:$A$65)=0),$A$2:$A$65), "G/표준;;"),"")</f>
        <v/>
      </c>
    </row>
    <row r="745" spans="10:10">
      <c r="J745" s="31" t="str">
        <f>IFERROR(TEXT(LOOKUP(2,1/(COUNTIF($J$1:J744,$A$2:$A$65)=0),$A$2:$A$65), "G/표준;;"),"")</f>
        <v/>
      </c>
    </row>
    <row r="746" spans="10:10">
      <c r="J746" s="31" t="str">
        <f>IFERROR(TEXT(LOOKUP(2,1/(COUNTIF($J$1:J745,$A$2:$A$65)=0),$A$2:$A$65), "G/표준;;"),"")</f>
        <v/>
      </c>
    </row>
    <row r="747" spans="10:10">
      <c r="J747" s="31" t="str">
        <f>IFERROR(TEXT(LOOKUP(2,1/(COUNTIF($J$1:J746,$A$2:$A$65)=0),$A$2:$A$65), "G/표준;;"),"")</f>
        <v/>
      </c>
    </row>
    <row r="748" spans="10:10">
      <c r="J748" s="31" t="str">
        <f>IFERROR(TEXT(LOOKUP(2,1/(COUNTIF($J$1:J747,$A$2:$A$65)=0),$A$2:$A$65), "G/표준;;"),"")</f>
        <v/>
      </c>
    </row>
    <row r="749" spans="10:10">
      <c r="J749" s="31" t="str">
        <f>IFERROR(TEXT(LOOKUP(2,1/(COUNTIF($J$1:J748,$A$2:$A$65)=0),$A$2:$A$65), "G/표준;;"),"")</f>
        <v/>
      </c>
    </row>
    <row r="750" spans="10:10">
      <c r="J750" s="31" t="str">
        <f>IFERROR(TEXT(LOOKUP(2,1/(COUNTIF($J$1:J749,$A$2:$A$65)=0),$A$2:$A$65), "G/표준;;"),"")</f>
        <v/>
      </c>
    </row>
    <row r="751" spans="10:10">
      <c r="J751" s="31" t="str">
        <f>IFERROR(TEXT(LOOKUP(2,1/(COUNTIF($J$1:J750,$A$2:$A$65)=0),$A$2:$A$65), "G/표준;;"),"")</f>
        <v/>
      </c>
    </row>
    <row r="752" spans="10:10">
      <c r="J752" s="31" t="str">
        <f>IFERROR(TEXT(LOOKUP(2,1/(COUNTIF($J$1:J751,$A$2:$A$65)=0),$A$2:$A$65), "G/표준;;"),"")</f>
        <v/>
      </c>
    </row>
    <row r="753" spans="10:10">
      <c r="J753" s="31" t="str">
        <f>IFERROR(TEXT(LOOKUP(2,1/(COUNTIF($J$1:J752,$A$2:$A$65)=0),$A$2:$A$65), "G/표준;;"),"")</f>
        <v/>
      </c>
    </row>
    <row r="754" spans="10:10">
      <c r="J754" s="31" t="str">
        <f>IFERROR(TEXT(LOOKUP(2,1/(COUNTIF($J$1:J753,$A$2:$A$65)=0),$A$2:$A$65), "G/표준;;"),"")</f>
        <v/>
      </c>
    </row>
    <row r="755" spans="10:10">
      <c r="J755" s="31" t="str">
        <f>IFERROR(TEXT(LOOKUP(2,1/(COUNTIF($J$1:J754,$A$2:$A$65)=0),$A$2:$A$65), "G/표준;;"),"")</f>
        <v/>
      </c>
    </row>
    <row r="756" spans="10:10">
      <c r="J756" s="31" t="str">
        <f>IFERROR(TEXT(LOOKUP(2,1/(COUNTIF($J$1:J755,$A$2:$A$65)=0),$A$2:$A$65), "G/표준;;"),"")</f>
        <v/>
      </c>
    </row>
    <row r="757" spans="10:10">
      <c r="J757" s="31" t="str">
        <f>IFERROR(TEXT(LOOKUP(2,1/(COUNTIF($J$1:J756,$A$2:$A$65)=0),$A$2:$A$65), "G/표준;;"),"")</f>
        <v/>
      </c>
    </row>
    <row r="758" spans="10:10">
      <c r="J758" s="31" t="str">
        <f>IFERROR(TEXT(LOOKUP(2,1/(COUNTIF($J$1:J757,$A$2:$A$65)=0),$A$2:$A$65), "G/표준;;"),"")</f>
        <v/>
      </c>
    </row>
    <row r="759" spans="10:10">
      <c r="J759" s="31" t="str">
        <f>IFERROR(TEXT(LOOKUP(2,1/(COUNTIF($J$1:J758,$A$2:$A$65)=0),$A$2:$A$65), "G/표준;;"),"")</f>
        <v/>
      </c>
    </row>
    <row r="760" spans="10:10">
      <c r="J760" s="31" t="str">
        <f>IFERROR(TEXT(LOOKUP(2,1/(COUNTIF($J$1:J759,$A$2:$A$65)=0),$A$2:$A$65), "G/표준;;"),"")</f>
        <v/>
      </c>
    </row>
    <row r="761" spans="10:10">
      <c r="J761" s="31" t="str">
        <f>IFERROR(TEXT(LOOKUP(2,1/(COUNTIF($J$1:J760,$A$2:$A$65)=0),$A$2:$A$65), "G/표준;;"),"")</f>
        <v/>
      </c>
    </row>
    <row r="762" spans="10:10">
      <c r="J762" s="31" t="str">
        <f>IFERROR(TEXT(LOOKUP(2,1/(COUNTIF($J$1:J761,$A$2:$A$65)=0),$A$2:$A$65), "G/표준;;"),"")</f>
        <v/>
      </c>
    </row>
    <row r="763" spans="10:10">
      <c r="J763" s="31" t="str">
        <f>IFERROR(TEXT(LOOKUP(2,1/(COUNTIF($J$1:J762,$A$2:$A$65)=0),$A$2:$A$65), "G/표준;;"),"")</f>
        <v/>
      </c>
    </row>
    <row r="764" spans="10:10">
      <c r="J764" s="31" t="str">
        <f>IFERROR(TEXT(LOOKUP(2,1/(COUNTIF($J$1:J763,$A$2:$A$65)=0),$A$2:$A$65), "G/표준;;"),"")</f>
        <v/>
      </c>
    </row>
    <row r="765" spans="10:10">
      <c r="J765" s="31" t="str">
        <f>IFERROR(TEXT(LOOKUP(2,1/(COUNTIF($J$1:J764,$A$2:$A$65)=0),$A$2:$A$65), "G/표준;;"),"")</f>
        <v/>
      </c>
    </row>
    <row r="766" spans="10:10">
      <c r="J766" s="31" t="str">
        <f>IFERROR(TEXT(LOOKUP(2,1/(COUNTIF($J$1:J765,$A$2:$A$65)=0),$A$2:$A$65), "G/표준;;"),"")</f>
        <v/>
      </c>
    </row>
    <row r="767" spans="10:10">
      <c r="J767" s="31" t="str">
        <f>IFERROR(TEXT(LOOKUP(2,1/(COUNTIF($J$1:J766,$A$2:$A$65)=0),$A$2:$A$65), "G/표준;;"),"")</f>
        <v/>
      </c>
    </row>
    <row r="768" spans="10:10">
      <c r="J768" s="31" t="str">
        <f>IFERROR(TEXT(LOOKUP(2,1/(COUNTIF($J$1:J767,$A$2:$A$65)=0),$A$2:$A$65), "G/표준;;"),"")</f>
        <v/>
      </c>
    </row>
    <row r="769" spans="10:10">
      <c r="J769" s="31" t="str">
        <f>IFERROR(TEXT(LOOKUP(2,1/(COUNTIF($J$1:J768,$A$2:$A$65)=0),$A$2:$A$65), "G/표준;;"),"")</f>
        <v/>
      </c>
    </row>
    <row r="770" spans="10:10">
      <c r="J770" s="31" t="str">
        <f>IFERROR(TEXT(LOOKUP(2,1/(COUNTIF($J$1:J769,$A$2:$A$65)=0),$A$2:$A$65), "G/표준;;"),"")</f>
        <v/>
      </c>
    </row>
    <row r="771" spans="10:10">
      <c r="J771" s="31" t="str">
        <f>IFERROR(TEXT(LOOKUP(2,1/(COUNTIF($J$1:J770,$A$2:$A$65)=0),$A$2:$A$65), "G/표준;;"),"")</f>
        <v/>
      </c>
    </row>
    <row r="772" spans="10:10">
      <c r="J772" s="31" t="str">
        <f>IFERROR(TEXT(LOOKUP(2,1/(COUNTIF($J$1:J771,$A$2:$A$65)=0),$A$2:$A$65), "G/표준;;"),"")</f>
        <v/>
      </c>
    </row>
    <row r="773" spans="10:10">
      <c r="J773" s="31" t="str">
        <f>IFERROR(TEXT(LOOKUP(2,1/(COUNTIF($J$1:J772,$A$2:$A$65)=0),$A$2:$A$65), "G/표준;;"),"")</f>
        <v/>
      </c>
    </row>
    <row r="774" spans="10:10">
      <c r="J774" s="31" t="str">
        <f>IFERROR(TEXT(LOOKUP(2,1/(COUNTIF($J$1:J773,$A$2:$A$65)=0),$A$2:$A$65), "G/표준;;"),"")</f>
        <v/>
      </c>
    </row>
    <row r="775" spans="10:10">
      <c r="J775" s="31" t="str">
        <f>IFERROR(TEXT(LOOKUP(2,1/(COUNTIF($J$1:J774,$A$2:$A$65)=0),$A$2:$A$65), "G/표준;;"),"")</f>
        <v/>
      </c>
    </row>
    <row r="776" spans="10:10">
      <c r="J776" s="31" t="str">
        <f>IFERROR(TEXT(LOOKUP(2,1/(COUNTIF($J$1:J775,$A$2:$A$65)=0),$A$2:$A$65), "G/표준;;"),"")</f>
        <v/>
      </c>
    </row>
    <row r="777" spans="10:10">
      <c r="J777" s="31" t="str">
        <f>IFERROR(TEXT(LOOKUP(2,1/(COUNTIF($J$1:J776,$A$2:$A$65)=0),$A$2:$A$65), "G/표준;;"),"")</f>
        <v/>
      </c>
    </row>
    <row r="778" spans="10:10">
      <c r="J778" s="31" t="str">
        <f>IFERROR(TEXT(LOOKUP(2,1/(COUNTIF($J$1:J777,$A$2:$A$65)=0),$A$2:$A$65), "G/표준;;"),"")</f>
        <v/>
      </c>
    </row>
    <row r="779" spans="10:10">
      <c r="J779" s="31" t="str">
        <f>IFERROR(TEXT(LOOKUP(2,1/(COUNTIF($J$1:J778,$A$2:$A$65)=0),$A$2:$A$65), "G/표준;;"),"")</f>
        <v/>
      </c>
    </row>
    <row r="780" spans="10:10">
      <c r="J780" s="31" t="str">
        <f>IFERROR(TEXT(LOOKUP(2,1/(COUNTIF($J$1:J779,$A$2:$A$65)=0),$A$2:$A$65), "G/표준;;"),"")</f>
        <v/>
      </c>
    </row>
    <row r="781" spans="10:10">
      <c r="J781" s="31" t="str">
        <f>IFERROR(TEXT(LOOKUP(2,1/(COUNTIF($J$1:J780,$A$2:$A$65)=0),$A$2:$A$65), "G/표준;;"),"")</f>
        <v/>
      </c>
    </row>
    <row r="782" spans="10:10">
      <c r="J782" s="31" t="str">
        <f>IFERROR(TEXT(LOOKUP(2,1/(COUNTIF($J$1:J781,$A$2:$A$65)=0),$A$2:$A$65), "G/표준;;"),"")</f>
        <v/>
      </c>
    </row>
    <row r="783" spans="10:10">
      <c r="J783" s="31" t="str">
        <f>IFERROR(TEXT(LOOKUP(2,1/(COUNTIF($J$1:J782,$A$2:$A$65)=0),$A$2:$A$65), "G/표준;;"),"")</f>
        <v/>
      </c>
    </row>
    <row r="784" spans="10:10">
      <c r="J784" s="31" t="str">
        <f>IFERROR(TEXT(LOOKUP(2,1/(COUNTIF($J$1:J783,$A$2:$A$65)=0),$A$2:$A$65), "G/표준;;"),"")</f>
        <v/>
      </c>
    </row>
    <row r="785" spans="10:10">
      <c r="J785" s="31" t="str">
        <f>IFERROR(TEXT(LOOKUP(2,1/(COUNTIF($J$1:J784,$A$2:$A$65)=0),$A$2:$A$65), "G/표준;;"),"")</f>
        <v/>
      </c>
    </row>
    <row r="786" spans="10:10">
      <c r="J786" s="31" t="str">
        <f>IFERROR(TEXT(LOOKUP(2,1/(COUNTIF($J$1:J785,$A$2:$A$65)=0),$A$2:$A$65), "G/표준;;"),"")</f>
        <v/>
      </c>
    </row>
    <row r="787" spans="10:10">
      <c r="J787" s="31" t="str">
        <f>IFERROR(TEXT(LOOKUP(2,1/(COUNTIF($J$1:J786,$A$2:$A$65)=0),$A$2:$A$65), "G/표준;;"),"")</f>
        <v/>
      </c>
    </row>
    <row r="788" spans="10:10">
      <c r="J788" s="31" t="str">
        <f>IFERROR(TEXT(LOOKUP(2,1/(COUNTIF($J$1:J787,$A$2:$A$65)=0),$A$2:$A$65), "G/표준;;"),"")</f>
        <v/>
      </c>
    </row>
    <row r="789" spans="10:10">
      <c r="J789" s="31" t="str">
        <f>IFERROR(TEXT(LOOKUP(2,1/(COUNTIF($J$1:J788,$A$2:$A$65)=0),$A$2:$A$65), "G/표준;;"),"")</f>
        <v/>
      </c>
    </row>
    <row r="790" spans="10:10">
      <c r="J790" s="31" t="str">
        <f>IFERROR(TEXT(LOOKUP(2,1/(COUNTIF($J$1:J789,$A$2:$A$65)=0),$A$2:$A$65), "G/표준;;"),"")</f>
        <v/>
      </c>
    </row>
    <row r="791" spans="10:10">
      <c r="J791" s="31" t="str">
        <f>IFERROR(TEXT(LOOKUP(2,1/(COUNTIF($J$1:J790,$A$2:$A$65)=0),$A$2:$A$65), "G/표준;;"),"")</f>
        <v/>
      </c>
    </row>
    <row r="792" spans="10:10">
      <c r="J792" s="31" t="str">
        <f>IFERROR(TEXT(LOOKUP(2,1/(COUNTIF($J$1:J791,$A$2:$A$65)=0),$A$2:$A$65), "G/표준;;"),"")</f>
        <v/>
      </c>
    </row>
    <row r="793" spans="10:10">
      <c r="J793" s="31" t="str">
        <f>IFERROR(TEXT(LOOKUP(2,1/(COUNTIF($J$1:J792,$A$2:$A$65)=0),$A$2:$A$65), "G/표준;;"),"")</f>
        <v/>
      </c>
    </row>
    <row r="794" spans="10:10">
      <c r="J794" s="31" t="str">
        <f>IFERROR(TEXT(LOOKUP(2,1/(COUNTIF($J$1:J793,$A$2:$A$65)=0),$A$2:$A$65), "G/표준;;"),"")</f>
        <v/>
      </c>
    </row>
    <row r="795" spans="10:10">
      <c r="J795" s="31" t="str">
        <f>IFERROR(TEXT(LOOKUP(2,1/(COUNTIF($J$1:J794,$A$2:$A$65)=0),$A$2:$A$65), "G/표준;;"),"")</f>
        <v/>
      </c>
    </row>
    <row r="796" spans="10:10">
      <c r="J796" s="31" t="str">
        <f>IFERROR(TEXT(LOOKUP(2,1/(COUNTIF($J$1:J795,$A$2:$A$65)=0),$A$2:$A$65), "G/표준;;"),"")</f>
        <v/>
      </c>
    </row>
    <row r="797" spans="10:10">
      <c r="J797" s="31" t="str">
        <f>IFERROR(TEXT(LOOKUP(2,1/(COUNTIF($J$1:J796,$A$2:$A$65)=0),$A$2:$A$65), "G/표준;;"),"")</f>
        <v/>
      </c>
    </row>
    <row r="798" spans="10:10">
      <c r="J798" s="31" t="str">
        <f>IFERROR(TEXT(LOOKUP(2,1/(COUNTIF($J$1:J797,$A$2:$A$65)=0),$A$2:$A$65), "G/표준;;"),"")</f>
        <v/>
      </c>
    </row>
    <row r="799" spans="10:10">
      <c r="J799" s="31" t="str">
        <f>IFERROR(TEXT(LOOKUP(2,1/(COUNTIF($J$1:J798,$A$2:$A$65)=0),$A$2:$A$65), "G/표준;;"),"")</f>
        <v/>
      </c>
    </row>
    <row r="800" spans="10:10">
      <c r="J800" s="31" t="str">
        <f>IFERROR(TEXT(LOOKUP(2,1/(COUNTIF($J$1:J799,$A$2:$A$65)=0),$A$2:$A$65), "G/표준;;"),"")</f>
        <v/>
      </c>
    </row>
    <row r="801" spans="10:10">
      <c r="J801" s="31" t="str">
        <f>IFERROR(TEXT(LOOKUP(2,1/(COUNTIF($J$1:J800,$A$2:$A$65)=0),$A$2:$A$65), "G/표준;;"),"")</f>
        <v/>
      </c>
    </row>
    <row r="802" spans="10:10">
      <c r="J802" s="31" t="str">
        <f>IFERROR(TEXT(LOOKUP(2,1/(COUNTIF($J$1:J801,$A$2:$A$65)=0),$A$2:$A$65), "G/표준;;"),"")</f>
        <v/>
      </c>
    </row>
    <row r="803" spans="10:10">
      <c r="J803" s="31" t="str">
        <f>IFERROR(TEXT(LOOKUP(2,1/(COUNTIF($J$1:J802,$A$2:$A$65)=0),$A$2:$A$65), "G/표준;;"),"")</f>
        <v/>
      </c>
    </row>
    <row r="804" spans="10:10">
      <c r="J804" s="31" t="str">
        <f>IFERROR(TEXT(LOOKUP(2,1/(COUNTIF($J$1:J803,$A$2:$A$65)=0),$A$2:$A$65), "G/표준;;"),"")</f>
        <v/>
      </c>
    </row>
    <row r="805" spans="10:10">
      <c r="J805" s="31" t="str">
        <f>IFERROR(TEXT(LOOKUP(2,1/(COUNTIF($J$1:J804,$A$2:$A$65)=0),$A$2:$A$65), "G/표준;;"),"")</f>
        <v/>
      </c>
    </row>
    <row r="806" spans="10:10">
      <c r="J806" s="31" t="str">
        <f>IFERROR(TEXT(LOOKUP(2,1/(COUNTIF($J$1:J805,$A$2:$A$65)=0),$A$2:$A$65), "G/표준;;"),"")</f>
        <v/>
      </c>
    </row>
    <row r="807" spans="10:10">
      <c r="J807" s="31" t="str">
        <f>IFERROR(TEXT(LOOKUP(2,1/(COUNTIF($J$1:J806,$A$2:$A$65)=0),$A$2:$A$65), "G/표준;;"),"")</f>
        <v/>
      </c>
    </row>
    <row r="808" spans="10:10">
      <c r="J808" s="31" t="str">
        <f>IFERROR(TEXT(LOOKUP(2,1/(COUNTIF($J$1:J807,$A$2:$A$65)=0),$A$2:$A$65), "G/표준;;"),"")</f>
        <v/>
      </c>
    </row>
    <row r="809" spans="10:10">
      <c r="J809" s="31" t="str">
        <f>IFERROR(TEXT(LOOKUP(2,1/(COUNTIF($J$1:J808,$A$2:$A$65)=0),$A$2:$A$65), "G/표준;;"),"")</f>
        <v/>
      </c>
    </row>
    <row r="810" spans="10:10">
      <c r="J810" s="31" t="str">
        <f>IFERROR(TEXT(LOOKUP(2,1/(COUNTIF($J$1:J809,$A$2:$A$65)=0),$A$2:$A$65), "G/표준;;"),"")</f>
        <v/>
      </c>
    </row>
    <row r="811" spans="10:10">
      <c r="J811" s="31" t="str">
        <f>IFERROR(TEXT(LOOKUP(2,1/(COUNTIF($J$1:J810,$A$2:$A$65)=0),$A$2:$A$65), "G/표준;;"),"")</f>
        <v/>
      </c>
    </row>
    <row r="812" spans="10:10">
      <c r="J812" s="31" t="str">
        <f>IFERROR(TEXT(LOOKUP(2,1/(COUNTIF($J$1:J811,$A$2:$A$65)=0),$A$2:$A$65), "G/표준;;"),"")</f>
        <v/>
      </c>
    </row>
    <row r="813" spans="10:10">
      <c r="J813" s="31" t="str">
        <f>IFERROR(TEXT(LOOKUP(2,1/(COUNTIF($J$1:J812,$A$2:$A$65)=0),$A$2:$A$65), "G/표준;;"),"")</f>
        <v/>
      </c>
    </row>
    <row r="814" spans="10:10">
      <c r="J814" s="31" t="str">
        <f>IFERROR(TEXT(LOOKUP(2,1/(COUNTIF($J$1:J813,$A$2:$A$65)=0),$A$2:$A$65), "G/표준;;"),"")</f>
        <v/>
      </c>
    </row>
    <row r="815" spans="10:10">
      <c r="J815" s="31" t="str">
        <f>IFERROR(TEXT(LOOKUP(2,1/(COUNTIF($J$1:J814,$A$2:$A$65)=0),$A$2:$A$65), "G/표준;;"),"")</f>
        <v/>
      </c>
    </row>
    <row r="816" spans="10:10">
      <c r="J816" s="31" t="str">
        <f>IFERROR(TEXT(LOOKUP(2,1/(COUNTIF($J$1:J815,$A$2:$A$65)=0),$A$2:$A$65), "G/표준;;"),"")</f>
        <v/>
      </c>
    </row>
    <row r="817" spans="10:10">
      <c r="J817" s="31" t="str">
        <f>IFERROR(TEXT(LOOKUP(2,1/(COUNTIF($J$1:J816,$A$2:$A$65)=0),$A$2:$A$65), "G/표준;;"),"")</f>
        <v/>
      </c>
    </row>
    <row r="818" spans="10:10">
      <c r="J818" s="31" t="str">
        <f>IFERROR(TEXT(LOOKUP(2,1/(COUNTIF($J$1:J817,$A$2:$A$65)=0),$A$2:$A$65), "G/표준;;"),"")</f>
        <v/>
      </c>
    </row>
    <row r="819" spans="10:10">
      <c r="J819" s="31" t="str">
        <f>IFERROR(TEXT(LOOKUP(2,1/(COUNTIF($J$1:J818,$A$2:$A$65)=0),$A$2:$A$65), "G/표준;;"),"")</f>
        <v/>
      </c>
    </row>
    <row r="820" spans="10:10">
      <c r="J820" s="31" t="str">
        <f>IFERROR(TEXT(LOOKUP(2,1/(COUNTIF($J$1:J819,$A$2:$A$65)=0),$A$2:$A$65), "G/표준;;"),"")</f>
        <v/>
      </c>
    </row>
    <row r="821" spans="10:10">
      <c r="J821" s="31" t="str">
        <f>IFERROR(TEXT(LOOKUP(2,1/(COUNTIF($J$1:J820,$A$2:$A$65)=0),$A$2:$A$65), "G/표준;;"),"")</f>
        <v/>
      </c>
    </row>
    <row r="822" spans="10:10">
      <c r="J822" s="31" t="str">
        <f>IFERROR(TEXT(LOOKUP(2,1/(COUNTIF($J$1:J821,$A$2:$A$65)=0),$A$2:$A$65), "G/표준;;"),"")</f>
        <v/>
      </c>
    </row>
    <row r="823" spans="10:10">
      <c r="J823" s="31" t="str">
        <f>IFERROR(TEXT(LOOKUP(2,1/(COUNTIF($J$1:J822,$A$2:$A$65)=0),$A$2:$A$65), "G/표준;;"),"")</f>
        <v/>
      </c>
    </row>
    <row r="824" spans="10:10">
      <c r="J824" s="31" t="str">
        <f>IFERROR(TEXT(LOOKUP(2,1/(COUNTIF($J$1:J823,$A$2:$A$65)=0),$A$2:$A$65), "G/표준;;"),"")</f>
        <v/>
      </c>
    </row>
    <row r="825" spans="10:10">
      <c r="J825" s="31" t="str">
        <f>IFERROR(TEXT(LOOKUP(2,1/(COUNTIF($J$1:J824,$A$2:$A$65)=0),$A$2:$A$65), "G/표준;;"),"")</f>
        <v/>
      </c>
    </row>
    <row r="826" spans="10:10">
      <c r="J826" s="31" t="str">
        <f>IFERROR(TEXT(LOOKUP(2,1/(COUNTIF($J$1:J825,$A$2:$A$65)=0),$A$2:$A$65), "G/표준;;"),"")</f>
        <v/>
      </c>
    </row>
    <row r="827" spans="10:10">
      <c r="J827" s="31" t="str">
        <f>IFERROR(TEXT(LOOKUP(2,1/(COUNTIF($J$1:J826,$A$2:$A$65)=0),$A$2:$A$65), "G/표준;;"),"")</f>
        <v/>
      </c>
    </row>
    <row r="828" spans="10:10">
      <c r="J828" s="31" t="str">
        <f>IFERROR(TEXT(LOOKUP(2,1/(COUNTIF($J$1:J827,$A$2:$A$65)=0),$A$2:$A$65), "G/표준;;"),"")</f>
        <v/>
      </c>
    </row>
    <row r="829" spans="10:10">
      <c r="J829" s="31" t="str">
        <f>IFERROR(TEXT(LOOKUP(2,1/(COUNTIF($J$1:J828,$A$2:$A$65)=0),$A$2:$A$65), "G/표준;;"),"")</f>
        <v/>
      </c>
    </row>
    <row r="830" spans="10:10">
      <c r="J830" s="31" t="str">
        <f>IFERROR(TEXT(LOOKUP(2,1/(COUNTIF($J$1:J829,$A$2:$A$65)=0),$A$2:$A$65), "G/표준;;"),"")</f>
        <v/>
      </c>
    </row>
    <row r="831" spans="10:10">
      <c r="J831" s="31" t="str">
        <f>IFERROR(TEXT(LOOKUP(2,1/(COUNTIF($J$1:J830,$A$2:$A$65)=0),$A$2:$A$65), "G/표준;;"),"")</f>
        <v/>
      </c>
    </row>
    <row r="832" spans="10:10">
      <c r="J832" s="31" t="str">
        <f>IFERROR(TEXT(LOOKUP(2,1/(COUNTIF($J$1:J831,$A$2:$A$65)=0),$A$2:$A$65), "G/표준;;"),"")</f>
        <v/>
      </c>
    </row>
    <row r="833" spans="10:10">
      <c r="J833" s="31" t="str">
        <f>IFERROR(TEXT(LOOKUP(2,1/(COUNTIF($J$1:J832,$A$2:$A$65)=0),$A$2:$A$65), "G/표준;;"),"")</f>
        <v/>
      </c>
    </row>
    <row r="834" spans="10:10">
      <c r="J834" s="31" t="str">
        <f>IFERROR(TEXT(LOOKUP(2,1/(COUNTIF($J$1:J833,$A$2:$A$65)=0),$A$2:$A$65), "G/표준;;"),"")</f>
        <v/>
      </c>
    </row>
    <row r="835" spans="10:10">
      <c r="J835" s="31" t="str">
        <f>IFERROR(TEXT(LOOKUP(2,1/(COUNTIF($J$1:J834,$A$2:$A$65)=0),$A$2:$A$65), "G/표준;;"),"")</f>
        <v/>
      </c>
    </row>
    <row r="836" spans="10:10">
      <c r="J836" s="31" t="str">
        <f>IFERROR(TEXT(LOOKUP(2,1/(COUNTIF($J$1:J835,$A$2:$A$65)=0),$A$2:$A$65), "G/표준;;"),"")</f>
        <v/>
      </c>
    </row>
    <row r="837" spans="10:10">
      <c r="J837" s="31" t="str">
        <f>IFERROR(TEXT(LOOKUP(2,1/(COUNTIF($J$1:J836,$A$2:$A$65)=0),$A$2:$A$65), "G/표준;;"),"")</f>
        <v/>
      </c>
    </row>
    <row r="838" spans="10:10">
      <c r="J838" s="31" t="str">
        <f>IFERROR(TEXT(LOOKUP(2,1/(COUNTIF($J$1:J837,$A$2:$A$65)=0),$A$2:$A$65), "G/표준;;"),"")</f>
        <v/>
      </c>
    </row>
    <row r="839" spans="10:10">
      <c r="J839" s="31" t="str">
        <f>IFERROR(TEXT(LOOKUP(2,1/(COUNTIF($J$1:J838,$A$2:$A$65)=0),$A$2:$A$65), "G/표준;;"),"")</f>
        <v/>
      </c>
    </row>
    <row r="840" spans="10:10">
      <c r="J840" s="31" t="str">
        <f>IFERROR(TEXT(LOOKUP(2,1/(COUNTIF($J$1:J839,$A$2:$A$65)=0),$A$2:$A$65), "G/표준;;"),"")</f>
        <v/>
      </c>
    </row>
    <row r="841" spans="10:10">
      <c r="J841" s="31" t="str">
        <f>IFERROR(TEXT(LOOKUP(2,1/(COUNTIF($J$1:J840,$A$2:$A$65)=0),$A$2:$A$65), "G/표준;;"),"")</f>
        <v/>
      </c>
    </row>
    <row r="842" spans="10:10">
      <c r="J842" s="31" t="str">
        <f>IFERROR(TEXT(LOOKUP(2,1/(COUNTIF($J$1:J841,$A$2:$A$65)=0),$A$2:$A$65), "G/표준;;"),"")</f>
        <v/>
      </c>
    </row>
    <row r="843" spans="10:10">
      <c r="J843" s="31" t="str">
        <f>IFERROR(TEXT(LOOKUP(2,1/(COUNTIF($J$1:J842,$A$2:$A$65)=0),$A$2:$A$65), "G/표준;;"),"")</f>
        <v/>
      </c>
    </row>
    <row r="844" spans="10:10">
      <c r="J844" s="31" t="str">
        <f>IFERROR(TEXT(LOOKUP(2,1/(COUNTIF($J$1:J843,$A$2:$A$65)=0),$A$2:$A$65), "G/표준;;"),"")</f>
        <v/>
      </c>
    </row>
    <row r="845" spans="10:10">
      <c r="J845" s="31" t="str">
        <f>IFERROR(TEXT(LOOKUP(2,1/(COUNTIF($J$1:J844,$A$2:$A$65)=0),$A$2:$A$65), "G/표준;;"),"")</f>
        <v/>
      </c>
    </row>
    <row r="846" spans="10:10">
      <c r="J846" s="31" t="str">
        <f>IFERROR(TEXT(LOOKUP(2,1/(COUNTIF($J$1:J845,$A$2:$A$65)=0),$A$2:$A$65), "G/표준;;"),"")</f>
        <v/>
      </c>
    </row>
    <row r="847" spans="10:10">
      <c r="J847" s="31" t="str">
        <f>IFERROR(TEXT(LOOKUP(2,1/(COUNTIF($J$1:J846,$A$2:$A$65)=0),$A$2:$A$65), "G/표준;;"),"")</f>
        <v/>
      </c>
    </row>
    <row r="848" spans="10:10">
      <c r="J848" s="31" t="str">
        <f>IFERROR(TEXT(LOOKUP(2,1/(COUNTIF($J$1:J847,$A$2:$A$65)=0),$A$2:$A$65), "G/표준;;"),"")</f>
        <v/>
      </c>
    </row>
    <row r="849" spans="10:10">
      <c r="J849" s="31" t="str">
        <f>IFERROR(TEXT(LOOKUP(2,1/(COUNTIF($J$1:J848,$A$2:$A$65)=0),$A$2:$A$65), "G/표준;;"),"")</f>
        <v/>
      </c>
    </row>
    <row r="850" spans="10:10">
      <c r="J850" s="31" t="str">
        <f>IFERROR(TEXT(LOOKUP(2,1/(COUNTIF($J$1:J849,$A$2:$A$65)=0),$A$2:$A$65), "G/표준;;"),"")</f>
        <v/>
      </c>
    </row>
    <row r="851" spans="10:10">
      <c r="J851" s="31" t="str">
        <f>IFERROR(TEXT(LOOKUP(2,1/(COUNTIF($J$1:J850,$A$2:$A$65)=0),$A$2:$A$65), "G/표준;;"),"")</f>
        <v/>
      </c>
    </row>
    <row r="852" spans="10:10">
      <c r="J852" s="31" t="str">
        <f>IFERROR(TEXT(LOOKUP(2,1/(COUNTIF($J$1:J851,$A$2:$A$65)=0),$A$2:$A$65), "G/표준;;"),"")</f>
        <v/>
      </c>
    </row>
    <row r="853" spans="10:10">
      <c r="J853" s="31" t="str">
        <f>IFERROR(TEXT(LOOKUP(2,1/(COUNTIF($J$1:J852,$A$2:$A$65)=0),$A$2:$A$65), "G/표준;;"),"")</f>
        <v/>
      </c>
    </row>
    <row r="854" spans="10:10">
      <c r="J854" s="31" t="str">
        <f>IFERROR(TEXT(LOOKUP(2,1/(COUNTIF($J$1:J853,$A$2:$A$65)=0),$A$2:$A$65), "G/표준;;"),"")</f>
        <v/>
      </c>
    </row>
    <row r="855" spans="10:10">
      <c r="J855" s="31" t="str">
        <f>IFERROR(TEXT(LOOKUP(2,1/(COUNTIF($J$1:J854,$A$2:$A$65)=0),$A$2:$A$65), "G/표준;;"),"")</f>
        <v/>
      </c>
    </row>
    <row r="856" spans="10:10">
      <c r="J856" s="31" t="str">
        <f>IFERROR(TEXT(LOOKUP(2,1/(COUNTIF($J$1:J855,$A$2:$A$65)=0),$A$2:$A$65), "G/표준;;"),"")</f>
        <v/>
      </c>
    </row>
    <row r="857" spans="10:10">
      <c r="J857" s="31" t="str">
        <f>IFERROR(TEXT(LOOKUP(2,1/(COUNTIF($J$1:J856,$A$2:$A$65)=0),$A$2:$A$65), "G/표준;;"),"")</f>
        <v/>
      </c>
    </row>
    <row r="858" spans="10:10">
      <c r="J858" s="31" t="str">
        <f>IFERROR(TEXT(LOOKUP(2,1/(COUNTIF($J$1:J857,$A$2:$A$65)=0),$A$2:$A$65), "G/표준;;"),"")</f>
        <v/>
      </c>
    </row>
    <row r="859" spans="10:10">
      <c r="J859" s="31" t="str">
        <f>IFERROR(TEXT(LOOKUP(2,1/(COUNTIF($J$1:J858,$A$2:$A$65)=0),$A$2:$A$65), "G/표준;;"),"")</f>
        <v/>
      </c>
    </row>
    <row r="860" spans="10:10">
      <c r="J860" s="31" t="str">
        <f>IFERROR(TEXT(LOOKUP(2,1/(COUNTIF($J$1:J859,$A$2:$A$65)=0),$A$2:$A$65), "G/표준;;"),"")</f>
        <v/>
      </c>
    </row>
    <row r="861" spans="10:10">
      <c r="J861" s="31" t="str">
        <f>IFERROR(TEXT(LOOKUP(2,1/(COUNTIF($J$1:J860,$A$2:$A$65)=0),$A$2:$A$65), "G/표준;;"),"")</f>
        <v/>
      </c>
    </row>
    <row r="862" spans="10:10">
      <c r="J862" s="31" t="str">
        <f>IFERROR(TEXT(LOOKUP(2,1/(COUNTIF($J$1:J861,$A$2:$A$65)=0),$A$2:$A$65), "G/표준;;"),"")</f>
        <v/>
      </c>
    </row>
    <row r="863" spans="10:10">
      <c r="J863" s="31" t="str">
        <f>IFERROR(TEXT(LOOKUP(2,1/(COUNTIF($J$1:J862,$A$2:$A$65)=0),$A$2:$A$65), "G/표준;;"),"")</f>
        <v/>
      </c>
    </row>
    <row r="864" spans="10:10">
      <c r="J864" s="31" t="str">
        <f>IFERROR(TEXT(LOOKUP(2,1/(COUNTIF($J$1:J863,$A$2:$A$65)=0),$A$2:$A$65), "G/표준;;"),"")</f>
        <v/>
      </c>
    </row>
    <row r="865" spans="10:10">
      <c r="J865" s="31" t="str">
        <f>IFERROR(TEXT(LOOKUP(2,1/(COUNTIF($J$1:J864,$A$2:$A$65)=0),$A$2:$A$65), "G/표준;;"),"")</f>
        <v/>
      </c>
    </row>
    <row r="866" spans="10:10">
      <c r="J866" s="31" t="str">
        <f>IFERROR(TEXT(LOOKUP(2,1/(COUNTIF($J$1:J865,$A$2:$A$65)=0),$A$2:$A$65), "G/표준;;"),"")</f>
        <v/>
      </c>
    </row>
    <row r="867" spans="10:10">
      <c r="J867" s="31" t="str">
        <f>IFERROR(TEXT(LOOKUP(2,1/(COUNTIF($J$1:J866,$A$2:$A$65)=0),$A$2:$A$65), "G/표준;;"),"")</f>
        <v/>
      </c>
    </row>
    <row r="868" spans="10:10">
      <c r="J868" s="31" t="str">
        <f>IFERROR(TEXT(LOOKUP(2,1/(COUNTIF($J$1:J867,$A$2:$A$65)=0),$A$2:$A$65), "G/표준;;"),"")</f>
        <v/>
      </c>
    </row>
    <row r="869" spans="10:10">
      <c r="J869" s="31" t="str">
        <f>IFERROR(TEXT(LOOKUP(2,1/(COUNTIF($J$1:J868,$A$2:$A$65)=0),$A$2:$A$65), "G/표준;;"),"")</f>
        <v/>
      </c>
    </row>
    <row r="870" spans="10:10">
      <c r="J870" s="31" t="str">
        <f>IFERROR(TEXT(LOOKUP(2,1/(COUNTIF($J$1:J869,$A$2:$A$65)=0),$A$2:$A$65), "G/표준;;"),"")</f>
        <v/>
      </c>
    </row>
    <row r="871" spans="10:10">
      <c r="J871" s="31" t="str">
        <f>IFERROR(TEXT(LOOKUP(2,1/(COUNTIF($J$1:J870,$A$2:$A$65)=0),$A$2:$A$65), "G/표준;;"),"")</f>
        <v/>
      </c>
    </row>
    <row r="872" spans="10:10">
      <c r="J872" s="31" t="str">
        <f>IFERROR(TEXT(LOOKUP(2,1/(COUNTIF($J$1:J871,$A$2:$A$65)=0),$A$2:$A$65), "G/표준;;"),"")</f>
        <v/>
      </c>
    </row>
    <row r="873" spans="10:10">
      <c r="J873" s="31" t="str">
        <f>IFERROR(TEXT(LOOKUP(2,1/(COUNTIF($J$1:J872,$A$2:$A$65)=0),$A$2:$A$65), "G/표준;;"),"")</f>
        <v/>
      </c>
    </row>
    <row r="874" spans="10:10">
      <c r="J874" s="31" t="str">
        <f>IFERROR(TEXT(LOOKUP(2,1/(COUNTIF($J$1:J873,$A$2:$A$65)=0),$A$2:$A$65), "G/표준;;"),"")</f>
        <v/>
      </c>
    </row>
    <row r="875" spans="10:10">
      <c r="J875" s="31" t="str">
        <f>IFERROR(TEXT(LOOKUP(2,1/(COUNTIF($J$1:J874,$A$2:$A$65)=0),$A$2:$A$65), "G/표준;;"),"")</f>
        <v/>
      </c>
    </row>
    <row r="876" spans="10:10">
      <c r="J876" s="31" t="str">
        <f>IFERROR(TEXT(LOOKUP(2,1/(COUNTIF($J$1:J875,$A$2:$A$65)=0),$A$2:$A$65), "G/표준;;"),"")</f>
        <v/>
      </c>
    </row>
    <row r="877" spans="10:10">
      <c r="J877" s="31" t="str">
        <f>IFERROR(TEXT(LOOKUP(2,1/(COUNTIF($J$1:J876,$A$2:$A$65)=0),$A$2:$A$65), "G/표준;;"),"")</f>
        <v/>
      </c>
    </row>
    <row r="878" spans="10:10">
      <c r="J878" s="31" t="str">
        <f>IFERROR(TEXT(LOOKUP(2,1/(COUNTIF($J$1:J877,$A$2:$A$65)=0),$A$2:$A$65), "G/표준;;"),"")</f>
        <v/>
      </c>
    </row>
    <row r="879" spans="10:10">
      <c r="J879" s="31" t="str">
        <f>IFERROR(TEXT(LOOKUP(2,1/(COUNTIF($J$1:J878,$A$2:$A$65)=0),$A$2:$A$65), "G/표준;;"),"")</f>
        <v/>
      </c>
    </row>
    <row r="880" spans="10:10">
      <c r="J880" s="31" t="str">
        <f>IFERROR(TEXT(LOOKUP(2,1/(COUNTIF($J$1:J879,$A$2:$A$65)=0),$A$2:$A$65), "G/표준;;"),"")</f>
        <v/>
      </c>
    </row>
    <row r="881" spans="10:10">
      <c r="J881" s="31" t="str">
        <f>IFERROR(TEXT(LOOKUP(2,1/(COUNTIF($J$1:J880,$A$2:$A$65)=0),$A$2:$A$65), "G/표준;;"),"")</f>
        <v/>
      </c>
    </row>
    <row r="882" spans="10:10">
      <c r="J882" s="31" t="str">
        <f>IFERROR(TEXT(LOOKUP(2,1/(COUNTIF($J$1:J881,$A$2:$A$65)=0),$A$2:$A$65), "G/표준;;"),"")</f>
        <v/>
      </c>
    </row>
    <row r="883" spans="10:10">
      <c r="J883" s="31" t="str">
        <f>IFERROR(TEXT(LOOKUP(2,1/(COUNTIF($J$1:J882,$A$2:$A$65)=0),$A$2:$A$65), "G/표준;;"),"")</f>
        <v/>
      </c>
    </row>
    <row r="884" spans="10:10">
      <c r="J884" s="31" t="str">
        <f>IFERROR(TEXT(LOOKUP(2,1/(COUNTIF($J$1:J883,$A$2:$A$65)=0),$A$2:$A$65), "G/표준;;"),"")</f>
        <v/>
      </c>
    </row>
    <row r="885" spans="10:10">
      <c r="J885" s="31" t="str">
        <f>IFERROR(TEXT(LOOKUP(2,1/(COUNTIF($J$1:J884,$A$2:$A$65)=0),$A$2:$A$65), "G/표준;;"),"")</f>
        <v/>
      </c>
    </row>
    <row r="886" spans="10:10">
      <c r="J886" s="31" t="str">
        <f>IFERROR(TEXT(LOOKUP(2,1/(COUNTIF($J$1:J885,$A$2:$A$65)=0),$A$2:$A$65), "G/표준;;"),"")</f>
        <v/>
      </c>
    </row>
    <row r="887" spans="10:10">
      <c r="J887" s="31" t="str">
        <f>IFERROR(TEXT(LOOKUP(2,1/(COUNTIF($J$1:J886,$A$2:$A$65)=0),$A$2:$A$65), "G/표준;;"),"")</f>
        <v/>
      </c>
    </row>
    <row r="888" spans="10:10">
      <c r="J888" s="31" t="str">
        <f>IFERROR(TEXT(LOOKUP(2,1/(COUNTIF($J$1:J887,$A$2:$A$65)=0),$A$2:$A$65), "G/표준;;"),"")</f>
        <v/>
      </c>
    </row>
    <row r="889" spans="10:10">
      <c r="J889" s="31" t="str">
        <f>IFERROR(TEXT(LOOKUP(2,1/(COUNTIF($J$1:J888,$A$2:$A$65)=0),$A$2:$A$65), "G/표준;;"),"")</f>
        <v/>
      </c>
    </row>
    <row r="890" spans="10:10">
      <c r="J890" s="31" t="str">
        <f>IFERROR(TEXT(LOOKUP(2,1/(COUNTIF($J$1:J889,$A$2:$A$65)=0),$A$2:$A$65), "G/표준;;"),"")</f>
        <v/>
      </c>
    </row>
    <row r="891" spans="10:10">
      <c r="J891" s="31" t="str">
        <f>IFERROR(TEXT(LOOKUP(2,1/(COUNTIF($J$1:J890,$A$2:$A$65)=0),$A$2:$A$65), "G/표준;;"),"")</f>
        <v/>
      </c>
    </row>
    <row r="892" spans="10:10">
      <c r="J892" s="31" t="str">
        <f>IFERROR(TEXT(LOOKUP(2,1/(COUNTIF($J$1:J891,$A$2:$A$65)=0),$A$2:$A$65), "G/표준;;"),"")</f>
        <v/>
      </c>
    </row>
    <row r="893" spans="10:10">
      <c r="J893" s="31" t="str">
        <f>IFERROR(TEXT(LOOKUP(2,1/(COUNTIF($J$1:J892,$A$2:$A$65)=0),$A$2:$A$65), "G/표준;;"),"")</f>
        <v/>
      </c>
    </row>
    <row r="894" spans="10:10">
      <c r="J894" s="31" t="str">
        <f>IFERROR(TEXT(LOOKUP(2,1/(COUNTIF($J$1:J893,$A$2:$A$65)=0),$A$2:$A$65), "G/표준;;"),"")</f>
        <v/>
      </c>
    </row>
    <row r="895" spans="10:10">
      <c r="J895" s="31" t="str">
        <f>IFERROR(TEXT(LOOKUP(2,1/(COUNTIF($J$1:J894,$A$2:$A$65)=0),$A$2:$A$65), "G/표준;;"),"")</f>
        <v/>
      </c>
    </row>
    <row r="896" spans="10:10">
      <c r="J896" s="31" t="str">
        <f>IFERROR(TEXT(LOOKUP(2,1/(COUNTIF($J$1:J895,$A$2:$A$65)=0),$A$2:$A$65), "G/표준;;"),"")</f>
        <v/>
      </c>
    </row>
    <row r="897" spans="10:10">
      <c r="J897" s="31" t="str">
        <f>IFERROR(TEXT(LOOKUP(2,1/(COUNTIF($J$1:J896,$A$2:$A$65)=0),$A$2:$A$65), "G/표준;;"),"")</f>
        <v/>
      </c>
    </row>
    <row r="898" spans="10:10">
      <c r="J898" s="31" t="str">
        <f>IFERROR(TEXT(LOOKUP(2,1/(COUNTIF($J$1:J897,$A$2:$A$65)=0),$A$2:$A$65), "G/표준;;"),"")</f>
        <v/>
      </c>
    </row>
    <row r="899" spans="10:10">
      <c r="J899" s="31" t="str">
        <f>IFERROR(TEXT(LOOKUP(2,1/(COUNTIF($J$1:J898,$A$2:$A$65)=0),$A$2:$A$65), "G/표준;;"),"")</f>
        <v/>
      </c>
    </row>
    <row r="900" spans="10:10">
      <c r="J900" s="31" t="str">
        <f>IFERROR(TEXT(LOOKUP(2,1/(COUNTIF($J$1:J899,$A$2:$A$65)=0),$A$2:$A$65), "G/표준;;"),"")</f>
        <v/>
      </c>
    </row>
    <row r="901" spans="10:10">
      <c r="J901" s="31" t="str">
        <f>IFERROR(TEXT(LOOKUP(2,1/(COUNTIF($J$1:J900,$A$2:$A$65)=0),$A$2:$A$65), "G/표준;;"),"")</f>
        <v/>
      </c>
    </row>
    <row r="902" spans="10:10">
      <c r="J902" s="31" t="str">
        <f>IFERROR(TEXT(LOOKUP(2,1/(COUNTIF($J$1:J901,$A$2:$A$65)=0),$A$2:$A$65), "G/표준;;"),"")</f>
        <v/>
      </c>
    </row>
    <row r="903" spans="10:10">
      <c r="J903" s="31" t="str">
        <f>IFERROR(TEXT(LOOKUP(2,1/(COUNTIF($J$1:J902,$A$2:$A$65)=0),$A$2:$A$65), "G/표준;;"),"")</f>
        <v/>
      </c>
    </row>
    <row r="904" spans="10:10">
      <c r="J904" s="31" t="str">
        <f>IFERROR(TEXT(LOOKUP(2,1/(COUNTIF($J$1:J903,$A$2:$A$65)=0),$A$2:$A$65), "G/표준;;"),"")</f>
        <v/>
      </c>
    </row>
    <row r="905" spans="10:10">
      <c r="J905" s="31" t="str">
        <f>IFERROR(TEXT(LOOKUP(2,1/(COUNTIF($J$1:J904,$A$2:$A$65)=0),$A$2:$A$65), "G/표준;;"),"")</f>
        <v/>
      </c>
    </row>
    <row r="906" spans="10:10">
      <c r="J906" s="31" t="str">
        <f>IFERROR(TEXT(LOOKUP(2,1/(COUNTIF($J$1:J905,$A$2:$A$65)=0),$A$2:$A$65), "G/표준;;"),"")</f>
        <v/>
      </c>
    </row>
    <row r="907" spans="10:10">
      <c r="J907" s="31" t="str">
        <f>IFERROR(TEXT(LOOKUP(2,1/(COUNTIF($J$1:J906,$A$2:$A$65)=0),$A$2:$A$65), "G/표준;;"),"")</f>
        <v/>
      </c>
    </row>
    <row r="908" spans="10:10">
      <c r="J908" s="31" t="str">
        <f>IFERROR(TEXT(LOOKUP(2,1/(COUNTIF($J$1:J907,$A$2:$A$65)=0),$A$2:$A$65), "G/표준;;"),"")</f>
        <v/>
      </c>
    </row>
    <row r="909" spans="10:10">
      <c r="J909" s="31" t="str">
        <f>IFERROR(TEXT(LOOKUP(2,1/(COUNTIF($J$1:J908,$A$2:$A$65)=0),$A$2:$A$65), "G/표준;;"),"")</f>
        <v/>
      </c>
    </row>
    <row r="910" spans="10:10">
      <c r="J910" s="31" t="str">
        <f>IFERROR(TEXT(LOOKUP(2,1/(COUNTIF($J$1:J909,$A$2:$A$65)=0),$A$2:$A$65), "G/표준;;"),"")</f>
        <v/>
      </c>
    </row>
    <row r="911" spans="10:10">
      <c r="J911" s="31" t="str">
        <f>IFERROR(TEXT(LOOKUP(2,1/(COUNTIF($J$1:J910,$A$2:$A$65)=0),$A$2:$A$65), "G/표준;;"),"")</f>
        <v/>
      </c>
    </row>
    <row r="912" spans="10:10">
      <c r="J912" s="31" t="str">
        <f>IFERROR(TEXT(LOOKUP(2,1/(COUNTIF($J$1:J911,$A$2:$A$65)=0),$A$2:$A$65), "G/표준;;"),"")</f>
        <v/>
      </c>
    </row>
    <row r="913" spans="10:10">
      <c r="J913" s="31" t="str">
        <f>IFERROR(TEXT(LOOKUP(2,1/(COUNTIF($J$1:J912,$A$2:$A$65)=0),$A$2:$A$65), "G/표준;;"),"")</f>
        <v/>
      </c>
    </row>
    <row r="914" spans="10:10">
      <c r="J914" s="31" t="str">
        <f>IFERROR(TEXT(LOOKUP(2,1/(COUNTIF($J$1:J913,$A$2:$A$65)=0),$A$2:$A$65), "G/표준;;"),"")</f>
        <v/>
      </c>
    </row>
    <row r="915" spans="10:10">
      <c r="J915" s="31" t="str">
        <f>IFERROR(TEXT(LOOKUP(2,1/(COUNTIF($J$1:J914,$A$2:$A$65)=0),$A$2:$A$65), "G/표준;;"),"")</f>
        <v/>
      </c>
    </row>
    <row r="916" spans="10:10">
      <c r="J916" s="31" t="str">
        <f>IFERROR(TEXT(LOOKUP(2,1/(COUNTIF($J$1:J915,$A$2:$A$65)=0),$A$2:$A$65), "G/표준;;"),"")</f>
        <v/>
      </c>
    </row>
    <row r="917" spans="10:10">
      <c r="J917" s="31" t="str">
        <f>IFERROR(TEXT(LOOKUP(2,1/(COUNTIF($J$1:J916,$A$2:$A$65)=0),$A$2:$A$65), "G/표준;;"),"")</f>
        <v/>
      </c>
    </row>
    <row r="918" spans="10:10">
      <c r="J918" s="31" t="str">
        <f>IFERROR(TEXT(LOOKUP(2,1/(COUNTIF($J$1:J917,$A$2:$A$65)=0),$A$2:$A$65), "G/표준;;"),"")</f>
        <v/>
      </c>
    </row>
    <row r="919" spans="10:10">
      <c r="J919" s="31" t="str">
        <f>IFERROR(TEXT(LOOKUP(2,1/(COUNTIF($J$1:J918,$A$2:$A$65)=0),$A$2:$A$65), "G/표준;;"),"")</f>
        <v/>
      </c>
    </row>
    <row r="920" spans="10:10">
      <c r="J920" s="31" t="str">
        <f>IFERROR(TEXT(LOOKUP(2,1/(COUNTIF($J$1:J919,$A$2:$A$65)=0),$A$2:$A$65), "G/표준;;"),"")</f>
        <v/>
      </c>
    </row>
    <row r="921" spans="10:10">
      <c r="J921" s="31" t="str">
        <f>IFERROR(TEXT(LOOKUP(2,1/(COUNTIF($J$1:J920,$A$2:$A$65)=0),$A$2:$A$65), "G/표준;;"),"")</f>
        <v/>
      </c>
    </row>
    <row r="922" spans="10:10">
      <c r="J922" s="31" t="str">
        <f>IFERROR(TEXT(LOOKUP(2,1/(COUNTIF($J$1:J921,$A$2:$A$65)=0),$A$2:$A$65), "G/표준;;"),"")</f>
        <v/>
      </c>
    </row>
    <row r="923" spans="10:10">
      <c r="J923" s="31" t="str">
        <f>IFERROR(TEXT(LOOKUP(2,1/(COUNTIF($J$1:J922,$A$2:$A$65)=0),$A$2:$A$65), "G/표준;;"),"")</f>
        <v/>
      </c>
    </row>
    <row r="924" spans="10:10">
      <c r="J924" s="31" t="str">
        <f>IFERROR(TEXT(LOOKUP(2,1/(COUNTIF($J$1:J923,$A$2:$A$65)=0),$A$2:$A$65), "G/표준;;"),"")</f>
        <v/>
      </c>
    </row>
    <row r="925" spans="10:10">
      <c r="J925" s="31" t="str">
        <f>IFERROR(TEXT(LOOKUP(2,1/(COUNTIF($J$1:J924,$A$2:$A$65)=0),$A$2:$A$65), "G/표준;;"),"")</f>
        <v/>
      </c>
    </row>
    <row r="926" spans="10:10">
      <c r="J926" s="31" t="str">
        <f>IFERROR(TEXT(LOOKUP(2,1/(COUNTIF($J$1:J925,$A$2:$A$65)=0),$A$2:$A$65), "G/표준;;"),"")</f>
        <v/>
      </c>
    </row>
    <row r="927" spans="10:10">
      <c r="J927" s="31" t="str">
        <f>IFERROR(TEXT(LOOKUP(2,1/(COUNTIF($J$1:J926,$A$2:$A$65)=0),$A$2:$A$65), "G/표준;;"),"")</f>
        <v/>
      </c>
    </row>
    <row r="928" spans="10:10">
      <c r="J928" s="31" t="str">
        <f>IFERROR(TEXT(LOOKUP(2,1/(COUNTIF($J$1:J927,$A$2:$A$65)=0),$A$2:$A$65), "G/표준;;"),"")</f>
        <v/>
      </c>
    </row>
    <row r="929" spans="10:10">
      <c r="J929" s="31" t="str">
        <f>IFERROR(TEXT(LOOKUP(2,1/(COUNTIF($J$1:J928,$A$2:$A$65)=0),$A$2:$A$65), "G/표준;;"),"")</f>
        <v/>
      </c>
    </row>
    <row r="930" spans="10:10">
      <c r="J930" s="31" t="str">
        <f>IFERROR(TEXT(LOOKUP(2,1/(COUNTIF($J$1:J929,$A$2:$A$65)=0),$A$2:$A$65), "G/표준;;"),"")</f>
        <v/>
      </c>
    </row>
    <row r="931" spans="10:10">
      <c r="J931" s="31" t="str">
        <f>IFERROR(TEXT(LOOKUP(2,1/(COUNTIF($J$1:J930,$A$2:$A$65)=0),$A$2:$A$65), "G/표준;;"),"")</f>
        <v/>
      </c>
    </row>
    <row r="932" spans="10:10">
      <c r="J932" s="31" t="str">
        <f>IFERROR(TEXT(LOOKUP(2,1/(COUNTIF($J$1:J931,$A$2:$A$65)=0),$A$2:$A$65), "G/표준;;"),"")</f>
        <v/>
      </c>
    </row>
    <row r="933" spans="10:10">
      <c r="J933" s="31" t="str">
        <f>IFERROR(TEXT(LOOKUP(2,1/(COUNTIF($J$1:J932,$A$2:$A$65)=0),$A$2:$A$65), "G/표준;;"),"")</f>
        <v/>
      </c>
    </row>
    <row r="934" spans="10:10">
      <c r="J934" s="31" t="str">
        <f>IFERROR(TEXT(LOOKUP(2,1/(COUNTIF($J$1:J933,$A$2:$A$65)=0),$A$2:$A$65), "G/표준;;"),"")</f>
        <v/>
      </c>
    </row>
    <row r="935" spans="10:10">
      <c r="J935" s="31" t="str">
        <f>IFERROR(TEXT(LOOKUP(2,1/(COUNTIF($J$1:J934,$A$2:$A$65)=0),$A$2:$A$65), "G/표준;;"),"")</f>
        <v/>
      </c>
    </row>
    <row r="936" spans="10:10">
      <c r="J936" s="31" t="str">
        <f>IFERROR(TEXT(LOOKUP(2,1/(COUNTIF($J$1:J935,$A$2:$A$65)=0),$A$2:$A$65), "G/표준;;"),"")</f>
        <v/>
      </c>
    </row>
    <row r="937" spans="10:10">
      <c r="J937" s="31" t="str">
        <f>IFERROR(TEXT(LOOKUP(2,1/(COUNTIF($J$1:J936,$A$2:$A$65)=0),$A$2:$A$65), "G/표준;;"),"")</f>
        <v/>
      </c>
    </row>
    <row r="938" spans="10:10">
      <c r="J938" s="31" t="str">
        <f>IFERROR(TEXT(LOOKUP(2,1/(COUNTIF($J$1:J937,$A$2:$A$65)=0),$A$2:$A$65), "G/표준;;"),"")</f>
        <v/>
      </c>
    </row>
    <row r="939" spans="10:10">
      <c r="J939" s="31" t="str">
        <f>IFERROR(TEXT(LOOKUP(2,1/(COUNTIF($J$1:J938,$A$2:$A$65)=0),$A$2:$A$65), "G/표준;;"),"")</f>
        <v/>
      </c>
    </row>
    <row r="940" spans="10:10">
      <c r="J940" s="31" t="str">
        <f>IFERROR(TEXT(LOOKUP(2,1/(COUNTIF($J$1:J939,$A$2:$A$65)=0),$A$2:$A$65), "G/표준;;"),"")</f>
        <v/>
      </c>
    </row>
    <row r="941" spans="10:10">
      <c r="J941" s="31" t="str">
        <f>IFERROR(TEXT(LOOKUP(2,1/(COUNTIF($J$1:J940,$A$2:$A$65)=0),$A$2:$A$65), "G/표준;;"),"")</f>
        <v/>
      </c>
    </row>
    <row r="942" spans="10:10">
      <c r="J942" s="31" t="str">
        <f>IFERROR(TEXT(LOOKUP(2,1/(COUNTIF($J$1:J941,$A$2:$A$65)=0),$A$2:$A$65), "G/표준;;"),"")</f>
        <v/>
      </c>
    </row>
    <row r="943" spans="10:10">
      <c r="J943" s="31" t="str">
        <f>IFERROR(TEXT(LOOKUP(2,1/(COUNTIF($J$1:J942,$A$2:$A$65)=0),$A$2:$A$65), "G/표준;;"),"")</f>
        <v/>
      </c>
    </row>
    <row r="944" spans="10:10">
      <c r="J944" s="31" t="str">
        <f>IFERROR(TEXT(LOOKUP(2,1/(COUNTIF($J$1:J943,$A$2:$A$65)=0),$A$2:$A$65), "G/표준;;"),"")</f>
        <v/>
      </c>
    </row>
    <row r="945" spans="10:10">
      <c r="J945" s="31" t="str">
        <f>IFERROR(TEXT(LOOKUP(2,1/(COUNTIF($J$1:J944,$A$2:$A$65)=0),$A$2:$A$65), "G/표준;;"),"")</f>
        <v/>
      </c>
    </row>
    <row r="946" spans="10:10">
      <c r="J946" s="31" t="str">
        <f>IFERROR(TEXT(LOOKUP(2,1/(COUNTIF($J$1:J945,$A$2:$A$65)=0),$A$2:$A$65), "G/표준;;"),"")</f>
        <v/>
      </c>
    </row>
    <row r="947" spans="10:10">
      <c r="J947" s="31" t="str">
        <f>IFERROR(TEXT(LOOKUP(2,1/(COUNTIF($J$1:J946,$A$2:$A$65)=0),$A$2:$A$65), "G/표준;;"),"")</f>
        <v/>
      </c>
    </row>
    <row r="948" spans="10:10">
      <c r="J948" s="31" t="str">
        <f>IFERROR(TEXT(LOOKUP(2,1/(COUNTIF($J$1:J947,$A$2:$A$65)=0),$A$2:$A$65), "G/표준;;"),"")</f>
        <v/>
      </c>
    </row>
    <row r="949" spans="10:10">
      <c r="J949" s="31" t="str">
        <f>IFERROR(TEXT(LOOKUP(2,1/(COUNTIF($J$1:J948,$A$2:$A$65)=0),$A$2:$A$65), "G/표준;;"),"")</f>
        <v/>
      </c>
    </row>
    <row r="950" spans="10:10">
      <c r="J950" s="31" t="str">
        <f>IFERROR(TEXT(LOOKUP(2,1/(COUNTIF($J$1:J949,$A$2:$A$65)=0),$A$2:$A$65), "G/표준;;"),"")</f>
        <v/>
      </c>
    </row>
    <row r="951" spans="10:10">
      <c r="J951" s="31" t="str">
        <f>IFERROR(TEXT(LOOKUP(2,1/(COUNTIF($J$1:J950,$A$2:$A$65)=0),$A$2:$A$65), "G/표준;;"),"")</f>
        <v/>
      </c>
    </row>
    <row r="952" spans="10:10">
      <c r="J952" s="31" t="str">
        <f>IFERROR(TEXT(LOOKUP(2,1/(COUNTIF($J$1:J951,$A$2:$A$65)=0),$A$2:$A$65), "G/표준;;"),"")</f>
        <v/>
      </c>
    </row>
    <row r="953" spans="10:10">
      <c r="J953" s="31" t="str">
        <f>IFERROR(TEXT(LOOKUP(2,1/(COUNTIF($J$1:J952,$A$2:$A$65)=0),$A$2:$A$65), "G/표준;;"),"")</f>
        <v/>
      </c>
    </row>
    <row r="954" spans="10:10">
      <c r="J954" s="31" t="str">
        <f>IFERROR(TEXT(LOOKUP(2,1/(COUNTIF($J$1:J953,$A$2:$A$65)=0),$A$2:$A$65), "G/표준;;"),"")</f>
        <v/>
      </c>
    </row>
    <row r="955" spans="10:10">
      <c r="J955" s="31" t="str">
        <f>IFERROR(TEXT(LOOKUP(2,1/(COUNTIF($J$1:J954,$A$2:$A$65)=0),$A$2:$A$65), "G/표준;;"),"")</f>
        <v/>
      </c>
    </row>
    <row r="956" spans="10:10">
      <c r="J956" s="31" t="str">
        <f>IFERROR(TEXT(LOOKUP(2,1/(COUNTIF($J$1:J955,$A$2:$A$65)=0),$A$2:$A$65), "G/표준;;"),"")</f>
        <v/>
      </c>
    </row>
    <row r="957" spans="10:10">
      <c r="J957" s="31" t="str">
        <f>IFERROR(TEXT(LOOKUP(2,1/(COUNTIF($J$1:J956,$A$2:$A$65)=0),$A$2:$A$65), "G/표준;;"),"")</f>
        <v/>
      </c>
    </row>
    <row r="958" spans="10:10">
      <c r="J958" s="31" t="str">
        <f>IFERROR(TEXT(LOOKUP(2,1/(COUNTIF($J$1:J957,$A$2:$A$65)=0),$A$2:$A$65), "G/표준;;"),"")</f>
        <v/>
      </c>
    </row>
    <row r="959" spans="10:10">
      <c r="J959" s="31" t="str">
        <f>IFERROR(TEXT(LOOKUP(2,1/(COUNTIF($J$1:J958,$A$2:$A$65)=0),$A$2:$A$65), "G/표준;;"),"")</f>
        <v/>
      </c>
    </row>
    <row r="960" spans="10:10">
      <c r="J960" s="31" t="str">
        <f>IFERROR(TEXT(LOOKUP(2,1/(COUNTIF($J$1:J959,$A$2:$A$65)=0),$A$2:$A$65), "G/표준;;"),"")</f>
        <v/>
      </c>
    </row>
    <row r="961" spans="10:10">
      <c r="J961" s="31" t="str">
        <f>IFERROR(TEXT(LOOKUP(2,1/(COUNTIF($J$1:J960,$A$2:$A$65)=0),$A$2:$A$65), "G/표준;;"),"")</f>
        <v/>
      </c>
    </row>
    <row r="962" spans="10:10">
      <c r="J962" s="31" t="str">
        <f>IFERROR(TEXT(LOOKUP(2,1/(COUNTIF($J$1:J961,$A$2:$A$65)=0),$A$2:$A$65), "G/표준;;"),"")</f>
        <v/>
      </c>
    </row>
    <row r="963" spans="10:10">
      <c r="J963" s="31" t="str">
        <f>IFERROR(TEXT(LOOKUP(2,1/(COUNTIF($J$1:J962,$A$2:$A$65)=0),$A$2:$A$65), "G/표준;;"),"")</f>
        <v/>
      </c>
    </row>
    <row r="964" spans="10:10">
      <c r="J964" s="31" t="str">
        <f>IFERROR(TEXT(LOOKUP(2,1/(COUNTIF($J$1:J963,$A$2:$A$65)=0),$A$2:$A$65), "G/표준;;"),"")</f>
        <v/>
      </c>
    </row>
    <row r="965" spans="10:10">
      <c r="J965" s="31" t="str">
        <f>IFERROR(TEXT(LOOKUP(2,1/(COUNTIF($J$1:J964,$A$2:$A$65)=0),$A$2:$A$65), "G/표준;;"),"")</f>
        <v/>
      </c>
    </row>
    <row r="966" spans="10:10">
      <c r="J966" s="31" t="str">
        <f>IFERROR(TEXT(LOOKUP(2,1/(COUNTIF($J$1:J965,$A$2:$A$65)=0),$A$2:$A$65), "G/표준;;"),"")</f>
        <v/>
      </c>
    </row>
    <row r="967" spans="10:10">
      <c r="J967" s="31" t="str">
        <f>IFERROR(TEXT(LOOKUP(2,1/(COUNTIF($J$1:J966,$A$2:$A$65)=0),$A$2:$A$65), "G/표준;;"),"")</f>
        <v/>
      </c>
    </row>
    <row r="968" spans="10:10">
      <c r="J968" s="31" t="str">
        <f>IFERROR(TEXT(LOOKUP(2,1/(COUNTIF($J$1:J967,$A$2:$A$65)=0),$A$2:$A$65), "G/표준;;"),"")</f>
        <v/>
      </c>
    </row>
    <row r="969" spans="10:10">
      <c r="J969" s="31" t="str">
        <f>IFERROR(TEXT(LOOKUP(2,1/(COUNTIF($J$1:J968,$A$2:$A$65)=0),$A$2:$A$65), "G/표준;;"),"")</f>
        <v/>
      </c>
    </row>
    <row r="970" spans="10:10">
      <c r="J970" s="31" t="str">
        <f>IFERROR(TEXT(LOOKUP(2,1/(COUNTIF($J$1:J969,$A$2:$A$65)=0),$A$2:$A$65), "G/표준;;"),"")</f>
        <v/>
      </c>
    </row>
    <row r="971" spans="10:10">
      <c r="J971" s="31" t="str">
        <f>IFERROR(TEXT(LOOKUP(2,1/(COUNTIF($J$1:J970,$A$2:$A$65)=0),$A$2:$A$65), "G/표준;;"),"")</f>
        <v/>
      </c>
    </row>
    <row r="972" spans="10:10">
      <c r="J972" s="31" t="str">
        <f>IFERROR(TEXT(LOOKUP(2,1/(COUNTIF($J$1:J971,$A$2:$A$65)=0),$A$2:$A$65), "G/표준;;"),"")</f>
        <v/>
      </c>
    </row>
    <row r="973" spans="10:10">
      <c r="J973" s="31" t="str">
        <f>IFERROR(TEXT(LOOKUP(2,1/(COUNTIF($J$1:J972,$A$2:$A$65)=0),$A$2:$A$65), "G/표준;;"),"")</f>
        <v/>
      </c>
    </row>
    <row r="974" spans="10:10">
      <c r="J974" s="31" t="str">
        <f>IFERROR(TEXT(LOOKUP(2,1/(COUNTIF($J$1:J973,$A$2:$A$65)=0),$A$2:$A$65), "G/표준;;"),"")</f>
        <v/>
      </c>
    </row>
    <row r="975" spans="10:10">
      <c r="J975" s="31" t="str">
        <f>IFERROR(TEXT(LOOKUP(2,1/(COUNTIF($J$1:J974,$A$2:$A$65)=0),$A$2:$A$65), "G/표준;;"),"")</f>
        <v/>
      </c>
    </row>
    <row r="976" spans="10:10">
      <c r="J976" s="31" t="str">
        <f>IFERROR(TEXT(LOOKUP(2,1/(COUNTIF($J$1:J975,$A$2:$A$65)=0),$A$2:$A$65), "G/표준;;"),"")</f>
        <v/>
      </c>
    </row>
    <row r="977" spans="10:10">
      <c r="J977" s="31" t="str">
        <f>IFERROR(TEXT(LOOKUP(2,1/(COUNTIF($J$1:J976,$A$2:$A$65)=0),$A$2:$A$65), "G/표준;;"),"")</f>
        <v/>
      </c>
    </row>
    <row r="978" spans="10:10">
      <c r="J978" s="31" t="str">
        <f>IFERROR(TEXT(LOOKUP(2,1/(COUNTIF($J$1:J977,$A$2:$A$65)=0),$A$2:$A$65), "G/표준;;"),"")</f>
        <v/>
      </c>
    </row>
    <row r="979" spans="10:10">
      <c r="J979" s="31" t="str">
        <f>IFERROR(TEXT(LOOKUP(2,1/(COUNTIF($J$1:J978,$A$2:$A$65)=0),$A$2:$A$65), "G/표준;;"),"")</f>
        <v/>
      </c>
    </row>
    <row r="980" spans="10:10">
      <c r="J980" s="31" t="str">
        <f>IFERROR(TEXT(LOOKUP(2,1/(COUNTIF($J$1:J979,$A$2:$A$65)=0),$A$2:$A$65), "G/표준;;"),"")</f>
        <v/>
      </c>
    </row>
    <row r="981" spans="10:10">
      <c r="J981" s="31" t="str">
        <f>IFERROR(TEXT(LOOKUP(2,1/(COUNTIF($J$1:J980,$A$2:$A$65)=0),$A$2:$A$65), "G/표준;;"),"")</f>
        <v/>
      </c>
    </row>
    <row r="982" spans="10:10">
      <c r="J982" s="31" t="str">
        <f>IFERROR(TEXT(LOOKUP(2,1/(COUNTIF($J$1:J981,$A$2:$A$65)=0),$A$2:$A$65), "G/표준;;"),"")</f>
        <v/>
      </c>
    </row>
    <row r="983" spans="10:10">
      <c r="J983" s="31" t="str">
        <f>IFERROR(TEXT(LOOKUP(2,1/(COUNTIF($J$1:J982,$A$2:$A$65)=0),$A$2:$A$65), "G/표준;;"),"")</f>
        <v/>
      </c>
    </row>
    <row r="984" spans="10:10">
      <c r="J984" s="31" t="str">
        <f>IFERROR(TEXT(LOOKUP(2,1/(COUNTIF($J$1:J983,$A$2:$A$65)=0),$A$2:$A$65), "G/표준;;"),"")</f>
        <v/>
      </c>
    </row>
    <row r="985" spans="10:10">
      <c r="J985" s="31" t="str">
        <f>IFERROR(TEXT(LOOKUP(2,1/(COUNTIF($J$1:J984,$A$2:$A$65)=0),$A$2:$A$65), "G/표준;;"),"")</f>
        <v/>
      </c>
    </row>
    <row r="986" spans="10:10">
      <c r="J986" s="31" t="str">
        <f>IFERROR(TEXT(LOOKUP(2,1/(COUNTIF($J$1:J985,$A$2:$A$65)=0),$A$2:$A$65), "G/표준;;"),"")</f>
        <v/>
      </c>
    </row>
    <row r="987" spans="10:10">
      <c r="J987" s="31" t="str">
        <f>IFERROR(TEXT(LOOKUP(2,1/(COUNTIF($J$1:J986,$A$2:$A$65)=0),$A$2:$A$65), "G/표준;;"),"")</f>
        <v/>
      </c>
    </row>
    <row r="988" spans="10:10">
      <c r="J988" s="31" t="str">
        <f>IFERROR(TEXT(LOOKUP(2,1/(COUNTIF($J$1:J987,$A$2:$A$65)=0),$A$2:$A$65), "G/표준;;"),"")</f>
        <v/>
      </c>
    </row>
    <row r="989" spans="10:10">
      <c r="J989" s="31" t="str">
        <f>IFERROR(TEXT(LOOKUP(2,1/(COUNTIF($J$1:J988,$A$2:$A$65)=0),$A$2:$A$65), "G/표준;;"),"")</f>
        <v/>
      </c>
    </row>
    <row r="990" spans="10:10">
      <c r="J990" s="31" t="str">
        <f>IFERROR(TEXT(LOOKUP(2,1/(COUNTIF($J$1:J989,$A$2:$A$65)=0),$A$2:$A$65), "G/표준;;"),"")</f>
        <v/>
      </c>
    </row>
    <row r="991" spans="10:10">
      <c r="J991" s="31" t="str">
        <f>IFERROR(TEXT(LOOKUP(2,1/(COUNTIF($J$1:J990,$A$2:$A$65)=0),$A$2:$A$65), "G/표준;;"),"")</f>
        <v/>
      </c>
    </row>
    <row r="992" spans="10:10">
      <c r="J992" s="31" t="str">
        <f>IFERROR(TEXT(LOOKUP(2,1/(COUNTIF($J$1:J991,$A$2:$A$65)=0),$A$2:$A$65), "G/표준;;"),"")</f>
        <v/>
      </c>
    </row>
    <row r="993" spans="10:10">
      <c r="J993" s="31" t="str">
        <f>IFERROR(TEXT(LOOKUP(2,1/(COUNTIF($J$1:J992,$A$2:$A$65)=0),$A$2:$A$65), "G/표준;;"),"")</f>
        <v/>
      </c>
    </row>
    <row r="994" spans="10:10">
      <c r="J994" s="31" t="str">
        <f>IFERROR(TEXT(LOOKUP(2,1/(COUNTIF($J$1:J993,$A$2:$A$65)=0),$A$2:$A$65), "G/표준;;"),"")</f>
        <v/>
      </c>
    </row>
    <row r="995" spans="10:10">
      <c r="J995" s="31" t="str">
        <f>IFERROR(TEXT(LOOKUP(2,1/(COUNTIF($J$1:J994,$A$2:$A$65)=0),$A$2:$A$65), "G/표준;;"),"")</f>
        <v/>
      </c>
    </row>
    <row r="996" spans="10:10">
      <c r="J996" s="31" t="str">
        <f>IFERROR(TEXT(LOOKUP(2,1/(COUNTIF($J$1:J995,$A$2:$A$65)=0),$A$2:$A$65), "G/표준;;"),"")</f>
        <v/>
      </c>
    </row>
    <row r="997" spans="10:10">
      <c r="J997" s="31" t="str">
        <f>IFERROR(TEXT(LOOKUP(2,1/(COUNTIF($J$1:J996,$A$2:$A$65)=0),$A$2:$A$65), "G/표준;;"),"")</f>
        <v/>
      </c>
    </row>
    <row r="998" spans="10:10">
      <c r="J998" s="31" t="str">
        <f>IFERROR(TEXT(LOOKUP(2,1/(COUNTIF($J$1:J997,$A$2:$A$65)=0),$A$2:$A$65), "G/표준;;"),"")</f>
        <v/>
      </c>
    </row>
    <row r="999" spans="10:10">
      <c r="J999" s="31" t="str">
        <f>IFERROR(TEXT(LOOKUP(2,1/(COUNTIF($J$1:J998,$A$2:$A$65)=0),$A$2:$A$65), "G/표준;;"),"")</f>
        <v/>
      </c>
    </row>
    <row r="1000" spans="10:10">
      <c r="J1000" s="31" t="str">
        <f>IFERROR(TEXT(LOOKUP(2,1/(COUNTIF($J$1:J999,$A$2:$A$65)=0),$A$2:$A$65), "G/표준;;"),"")</f>
        <v/>
      </c>
    </row>
    <row r="1001" spans="10:10">
      <c r="J1001" s="31" t="str">
        <f>IFERROR(TEXT(LOOKUP(2,1/(COUNTIF($J$1:J1000,$A$2:$A$65)=0),$A$2:$A$65), "G/표준;;"),"")</f>
        <v/>
      </c>
    </row>
    <row r="1002" spans="10:10">
      <c r="J1002" s="31" t="str">
        <f>IFERROR(TEXT(LOOKUP(2,1/(COUNTIF($J$1:J1001,$A$2:$A$65)=0),$A$2:$A$65), "G/표준;;"),"")</f>
        <v/>
      </c>
    </row>
    <row r="1003" spans="10:10">
      <c r="J1003" s="31" t="str">
        <f>IFERROR(TEXT(LOOKUP(2,1/(COUNTIF($J$1:J1002,$A$2:$A$65)=0),$A$2:$A$65), "G/표준;;"),"")</f>
        <v/>
      </c>
    </row>
    <row r="1004" spans="10:10">
      <c r="J1004" s="31" t="str">
        <f>IFERROR(TEXT(LOOKUP(2,1/(COUNTIF($J$1:J1003,$A$2:$A$65)=0),$A$2:$A$65), "G/표준;;"),"")</f>
        <v/>
      </c>
    </row>
    <row r="1005" spans="10:10">
      <c r="J1005" s="31" t="str">
        <f>IFERROR(TEXT(LOOKUP(2,1/(COUNTIF($J$1:J1004,$A$2:$A$65)=0),$A$2:$A$65), "G/표준;;"),"")</f>
        <v/>
      </c>
    </row>
    <row r="1006" spans="10:10">
      <c r="J1006" s="31" t="str">
        <f>IFERROR(TEXT(LOOKUP(2,1/(COUNTIF($J$1:J1005,$A$2:$A$65)=0),$A$2:$A$65), "G/표준;;"),"")</f>
        <v/>
      </c>
    </row>
    <row r="1007" spans="10:10">
      <c r="J1007" s="31" t="str">
        <f>IFERROR(TEXT(LOOKUP(2,1/(COUNTIF($J$1:J1006,$A$2:$A$65)=0),$A$2:$A$65), "G/표준;;"),"")</f>
        <v/>
      </c>
    </row>
    <row r="1008" spans="10:10">
      <c r="J1008" s="31" t="str">
        <f>IFERROR(TEXT(LOOKUP(2,1/(COUNTIF($J$1:J1007,$A$2:$A$65)=0),$A$2:$A$65), "G/표준;;"),"")</f>
        <v/>
      </c>
    </row>
    <row r="1009" spans="10:10">
      <c r="J1009" s="31" t="str">
        <f>IFERROR(TEXT(LOOKUP(2,1/(COUNTIF($J$1:J1008,$A$2:$A$65)=0),$A$2:$A$65), "G/표준;;"),"")</f>
        <v/>
      </c>
    </row>
    <row r="1010" spans="10:10">
      <c r="J1010" s="31" t="str">
        <f>IFERROR(TEXT(LOOKUP(2,1/(COUNTIF($J$1:J1009,$A$2:$A$65)=0),$A$2:$A$65), "G/표준;;"),"")</f>
        <v/>
      </c>
    </row>
    <row r="1011" spans="10:10">
      <c r="J1011" s="31" t="str">
        <f>IFERROR(TEXT(LOOKUP(2,1/(COUNTIF($J$1:J1010,$A$2:$A$65)=0),$A$2:$A$65), "G/표준;;"),"")</f>
        <v/>
      </c>
    </row>
    <row r="1012" spans="10:10">
      <c r="J1012" s="31" t="str">
        <f>IFERROR(TEXT(LOOKUP(2,1/(COUNTIF($J$1:J1011,$A$2:$A$65)=0),$A$2:$A$65), "G/표준;;"),"")</f>
        <v/>
      </c>
    </row>
    <row r="1013" spans="10:10">
      <c r="J1013" s="31" t="str">
        <f>IFERROR(TEXT(LOOKUP(2,1/(COUNTIF($J$1:J1012,$A$2:$A$65)=0),$A$2:$A$65), "G/표준;;"),"")</f>
        <v/>
      </c>
    </row>
    <row r="1014" spans="10:10">
      <c r="J1014" s="31" t="str">
        <f>IFERROR(TEXT(LOOKUP(2,1/(COUNTIF($J$1:J1013,$A$2:$A$65)=0),$A$2:$A$65), "G/표준;;"),"")</f>
        <v/>
      </c>
    </row>
    <row r="1015" spans="10:10">
      <c r="J1015" s="31" t="str">
        <f>IFERROR(TEXT(LOOKUP(2,1/(COUNTIF($J$1:J1014,$A$2:$A$65)=0),$A$2:$A$65), "G/표준;;"),"")</f>
        <v/>
      </c>
    </row>
    <row r="1016" spans="10:10">
      <c r="J1016" s="31" t="str">
        <f>IFERROR(TEXT(LOOKUP(2,1/(COUNTIF($J$1:J1015,$A$2:$A$65)=0),$A$2:$A$65), "G/표준;;"),"")</f>
        <v/>
      </c>
    </row>
    <row r="1017" spans="10:10">
      <c r="J1017" s="31" t="str">
        <f>IFERROR(TEXT(LOOKUP(2,1/(COUNTIF($J$1:J1016,$A$2:$A$65)=0),$A$2:$A$65), "G/표준;;"),"")</f>
        <v/>
      </c>
    </row>
    <row r="1018" spans="10:10">
      <c r="J1018" s="31" t="str">
        <f>IFERROR(TEXT(LOOKUP(2,1/(COUNTIF($J$1:J1017,$A$2:$A$65)=0),$A$2:$A$65), "G/표준;;"),"")</f>
        <v/>
      </c>
    </row>
    <row r="1019" spans="10:10">
      <c r="J1019" s="31" t="str">
        <f>IFERROR(TEXT(LOOKUP(2,1/(COUNTIF($J$1:J1018,$A$2:$A$65)=0),$A$2:$A$65), "G/표준;;"),"")</f>
        <v/>
      </c>
    </row>
    <row r="1020" spans="10:10">
      <c r="J1020" s="31" t="str">
        <f>IFERROR(TEXT(LOOKUP(2,1/(COUNTIF($J$1:J1019,$A$2:$A$65)=0),$A$2:$A$65), "G/표준;;"),"")</f>
        <v/>
      </c>
    </row>
    <row r="1021" spans="10:10">
      <c r="J1021" s="31" t="str">
        <f>IFERROR(TEXT(LOOKUP(2,1/(COUNTIF($J$1:J1020,$A$2:$A$65)=0),$A$2:$A$65), "G/표준;;"),"")</f>
        <v/>
      </c>
    </row>
    <row r="1022" spans="10:10">
      <c r="J1022" s="31" t="str">
        <f>IFERROR(TEXT(LOOKUP(2,1/(COUNTIF($J$1:J1021,$A$2:$A$65)=0),$A$2:$A$65), "G/표준;;"),"")</f>
        <v/>
      </c>
    </row>
    <row r="1023" spans="10:10">
      <c r="J1023" s="31" t="str">
        <f>IFERROR(TEXT(LOOKUP(2,1/(COUNTIF($J$1:J1022,$A$2:$A$65)=0),$A$2:$A$65), "G/표준;;"),"")</f>
        <v/>
      </c>
    </row>
    <row r="1024" spans="10:10">
      <c r="J1024" s="31" t="str">
        <f>IFERROR(TEXT(LOOKUP(2,1/(COUNTIF($J$1:J1023,$A$2:$A$65)=0),$A$2:$A$65), "G/표준;;"),"")</f>
        <v/>
      </c>
    </row>
    <row r="1025" spans="10:10">
      <c r="J1025" s="31" t="str">
        <f>IFERROR(TEXT(LOOKUP(2,1/(COUNTIF($J$1:J1024,$A$2:$A$65)=0),$A$2:$A$65), "G/표준;;"),"")</f>
        <v/>
      </c>
    </row>
    <row r="1026" spans="10:10">
      <c r="J1026" s="31" t="str">
        <f>IFERROR(TEXT(LOOKUP(2,1/(COUNTIF($J$1:J1025,$A$2:$A$65)=0),$A$2:$A$65), "G/표준;;"),"")</f>
        <v/>
      </c>
    </row>
    <row r="1027" spans="10:10">
      <c r="J1027" s="31" t="str">
        <f>IFERROR(TEXT(LOOKUP(2,1/(COUNTIF($J$1:J1026,$A$2:$A$65)=0),$A$2:$A$65), "G/표준;;"),"")</f>
        <v/>
      </c>
    </row>
    <row r="1028" spans="10:10">
      <c r="J1028" s="31" t="str">
        <f>IFERROR(TEXT(LOOKUP(2,1/(COUNTIF($J$1:J1027,$A$2:$A$65)=0),$A$2:$A$65), "G/표준;;"),"")</f>
        <v/>
      </c>
    </row>
    <row r="1029" spans="10:10">
      <c r="J1029" s="31" t="str">
        <f>IFERROR(TEXT(LOOKUP(2,1/(COUNTIF($J$1:J1028,$A$2:$A$65)=0),$A$2:$A$65), "G/표준;;"),"")</f>
        <v/>
      </c>
    </row>
    <row r="1030" spans="10:10">
      <c r="J1030" s="31" t="str">
        <f>IFERROR(TEXT(LOOKUP(2,1/(COUNTIF($J$1:J1029,$A$2:$A$65)=0),$A$2:$A$65), "G/표준;;"),"")</f>
        <v/>
      </c>
    </row>
    <row r="1031" spans="10:10">
      <c r="J1031" s="31" t="str">
        <f>IFERROR(TEXT(LOOKUP(2,1/(COUNTIF($J$1:J1030,$A$2:$A$65)=0),$A$2:$A$65), "G/표준;;"),"")</f>
        <v/>
      </c>
    </row>
    <row r="1032" spans="10:10">
      <c r="J1032" s="31" t="str">
        <f>IFERROR(TEXT(LOOKUP(2,1/(COUNTIF($J$1:J1031,$A$2:$A$65)=0),$A$2:$A$65), "G/표준;;"),"")</f>
        <v/>
      </c>
    </row>
    <row r="1033" spans="10:10">
      <c r="J1033" s="31" t="str">
        <f>IFERROR(TEXT(LOOKUP(2,1/(COUNTIF($J$1:J1032,$A$2:$A$65)=0),$A$2:$A$65), "G/표준;;"),"")</f>
        <v/>
      </c>
    </row>
    <row r="1034" spans="10:10">
      <c r="J1034" s="31" t="str">
        <f>IFERROR(TEXT(LOOKUP(2,1/(COUNTIF($J$1:J1033,$A$2:$A$65)=0),$A$2:$A$65), "G/표준;;"),"")</f>
        <v/>
      </c>
    </row>
    <row r="1035" spans="10:10">
      <c r="J1035" s="31" t="str">
        <f>IFERROR(TEXT(LOOKUP(2,1/(COUNTIF($J$1:J1034,$A$2:$A$65)=0),$A$2:$A$65), "G/표준;;"),"")</f>
        <v/>
      </c>
    </row>
    <row r="1036" spans="10:10">
      <c r="J1036" s="31" t="str">
        <f>IFERROR(TEXT(LOOKUP(2,1/(COUNTIF($J$1:J1035,$A$2:$A$65)=0),$A$2:$A$65), "G/표준;;"),"")</f>
        <v/>
      </c>
    </row>
    <row r="1037" spans="10:10">
      <c r="J1037" s="31" t="str">
        <f>IFERROR(TEXT(LOOKUP(2,1/(COUNTIF($J$1:J1036,$A$2:$A$65)=0),$A$2:$A$65), "G/표준;;"),"")</f>
        <v/>
      </c>
    </row>
    <row r="1038" spans="10:10">
      <c r="J1038" s="31" t="str">
        <f>IFERROR(TEXT(LOOKUP(2,1/(COUNTIF($J$1:J1037,$A$2:$A$65)=0),$A$2:$A$65), "G/표준;;"),"")</f>
        <v/>
      </c>
    </row>
    <row r="1039" spans="10:10">
      <c r="J1039" s="31" t="str">
        <f>IFERROR(TEXT(LOOKUP(2,1/(COUNTIF($J$1:J1038,$A$2:$A$65)=0),$A$2:$A$65), "G/표준;;"),"")</f>
        <v/>
      </c>
    </row>
    <row r="1040" spans="10:10">
      <c r="J1040" s="31" t="str">
        <f>IFERROR(TEXT(LOOKUP(2,1/(COUNTIF($J$1:J1039,$A$2:$A$65)=0),$A$2:$A$65), "G/표준;;"),"")</f>
        <v/>
      </c>
    </row>
    <row r="1041" spans="10:10">
      <c r="J1041" s="31" t="str">
        <f>IFERROR(TEXT(LOOKUP(2,1/(COUNTIF($J$1:J1040,$A$2:$A$65)=0),$A$2:$A$65), "G/표준;;"),"")</f>
        <v/>
      </c>
    </row>
    <row r="1042" spans="10:10">
      <c r="J1042" s="31" t="str">
        <f>IFERROR(TEXT(LOOKUP(2,1/(COUNTIF($J$1:J1041,$A$2:$A$65)=0),$A$2:$A$65), "G/표준;;"),"")</f>
        <v/>
      </c>
    </row>
    <row r="1043" spans="10:10">
      <c r="J1043" s="31" t="str">
        <f>IFERROR(TEXT(LOOKUP(2,1/(COUNTIF($J$1:J1042,$A$2:$A$65)=0),$A$2:$A$65), "G/표준;;"),"")</f>
        <v/>
      </c>
    </row>
    <row r="1044" spans="10:10">
      <c r="J1044" s="31" t="str">
        <f>IFERROR(TEXT(LOOKUP(2,1/(COUNTIF($J$1:J1043,$A$2:$A$65)=0),$A$2:$A$65), "G/표준;;"),"")</f>
        <v/>
      </c>
    </row>
    <row r="1045" spans="10:10">
      <c r="J1045" s="31" t="str">
        <f>IFERROR(TEXT(LOOKUP(2,1/(COUNTIF($J$1:J1044,$A$2:$A$65)=0),$A$2:$A$65), "G/표준;;"),"")</f>
        <v/>
      </c>
    </row>
    <row r="1046" spans="10:10">
      <c r="J1046" s="31" t="str">
        <f>IFERROR(TEXT(LOOKUP(2,1/(COUNTIF($J$1:J1045,$A$2:$A$65)=0),$A$2:$A$65), "G/표준;;"),"")</f>
        <v/>
      </c>
    </row>
    <row r="1047" spans="10:10">
      <c r="J1047" s="31" t="str">
        <f>IFERROR(TEXT(LOOKUP(2,1/(COUNTIF($J$1:J1046,$A$2:$A$65)=0),$A$2:$A$65), "G/표준;;"),"")</f>
        <v/>
      </c>
    </row>
    <row r="1048" spans="10:10">
      <c r="J1048" s="31" t="str">
        <f>IFERROR(TEXT(LOOKUP(2,1/(COUNTIF($J$1:J1047,$A$2:$A$65)=0),$A$2:$A$65), "G/표준;;"),"")</f>
        <v/>
      </c>
    </row>
    <row r="1049" spans="10:10">
      <c r="J1049" s="31" t="str">
        <f>IFERROR(TEXT(LOOKUP(2,1/(COUNTIF($J$1:J1048,$A$2:$A$65)=0),$A$2:$A$65), "G/표준;;"),"")</f>
        <v/>
      </c>
    </row>
    <row r="1050" spans="10:10">
      <c r="J1050" s="31" t="str">
        <f>IFERROR(TEXT(LOOKUP(2,1/(COUNTIF($J$1:J1049,$A$2:$A$65)=0),$A$2:$A$65), "G/표준;;"),"")</f>
        <v/>
      </c>
    </row>
    <row r="1051" spans="10:10">
      <c r="J1051" s="31" t="str">
        <f>IFERROR(TEXT(LOOKUP(2,1/(COUNTIF($J$1:J1050,$A$2:$A$65)=0),$A$2:$A$65), "G/표준;;"),"")</f>
        <v/>
      </c>
    </row>
    <row r="1052" spans="10:10">
      <c r="J1052" s="31" t="str">
        <f>IFERROR(TEXT(LOOKUP(2,1/(COUNTIF($J$1:J1051,$A$2:$A$65)=0),$A$2:$A$65), "G/표준;;"),"")</f>
        <v/>
      </c>
    </row>
    <row r="1053" spans="10:10">
      <c r="J1053" s="31" t="str">
        <f>IFERROR(TEXT(LOOKUP(2,1/(COUNTIF($J$1:J1052,$A$2:$A$65)=0),$A$2:$A$65), "G/표준;;"),"")</f>
        <v/>
      </c>
    </row>
    <row r="1054" spans="10:10">
      <c r="J1054" s="31" t="str">
        <f>IFERROR(TEXT(LOOKUP(2,1/(COUNTIF($J$1:J1053,$A$2:$A$65)=0),$A$2:$A$65), "G/표준;;"),"")</f>
        <v/>
      </c>
    </row>
    <row r="1055" spans="10:10">
      <c r="J1055" s="31" t="str">
        <f>IFERROR(TEXT(LOOKUP(2,1/(COUNTIF($J$1:J1054,$A$2:$A$65)=0),$A$2:$A$65), "G/표준;;"),"")</f>
        <v/>
      </c>
    </row>
    <row r="1056" spans="10:10">
      <c r="J1056" s="31" t="str">
        <f>IFERROR(TEXT(LOOKUP(2,1/(COUNTIF($J$1:J1055,$A$2:$A$65)=0),$A$2:$A$65), "G/표준;;"),"")</f>
        <v/>
      </c>
    </row>
    <row r="1057" spans="10:10">
      <c r="J1057" s="31" t="str">
        <f>IFERROR(TEXT(LOOKUP(2,1/(COUNTIF($J$1:J1056,$A$2:$A$65)=0),$A$2:$A$65), "G/표준;;"),"")</f>
        <v/>
      </c>
    </row>
    <row r="1058" spans="10:10">
      <c r="J1058" s="31" t="str">
        <f>IFERROR(TEXT(LOOKUP(2,1/(COUNTIF($J$1:J1057,$A$2:$A$65)=0),$A$2:$A$65), "G/표준;;"),"")</f>
        <v/>
      </c>
    </row>
    <row r="1059" spans="10:10">
      <c r="J1059" s="31" t="str">
        <f>IFERROR(TEXT(LOOKUP(2,1/(COUNTIF($J$1:J1058,$A$2:$A$65)=0),$A$2:$A$65), "G/표준;;"),"")</f>
        <v/>
      </c>
    </row>
    <row r="1060" spans="10:10">
      <c r="J1060" s="31" t="str">
        <f>IFERROR(TEXT(LOOKUP(2,1/(COUNTIF($J$1:J1059,$A$2:$A$65)=0),$A$2:$A$65), "G/표준;;"),"")</f>
        <v/>
      </c>
    </row>
    <row r="1061" spans="10:10">
      <c r="J1061" s="31" t="str">
        <f>IFERROR(TEXT(LOOKUP(2,1/(COUNTIF($J$1:J1060,$A$2:$A$65)=0),$A$2:$A$65), "G/표준;;"),"")</f>
        <v/>
      </c>
    </row>
    <row r="1062" spans="10:10">
      <c r="J1062" s="31" t="str">
        <f>IFERROR(TEXT(LOOKUP(2,1/(COUNTIF($J$1:J1061,$A$2:$A$65)=0),$A$2:$A$65), "G/표준;;"),"")</f>
        <v/>
      </c>
    </row>
    <row r="1063" spans="10:10">
      <c r="J1063" s="31" t="str">
        <f>IFERROR(TEXT(LOOKUP(2,1/(COUNTIF($J$1:J1062,$A$2:$A$65)=0),$A$2:$A$65), "G/표준;;"),"")</f>
        <v/>
      </c>
    </row>
    <row r="1064" spans="10:10">
      <c r="J1064" s="31" t="str">
        <f>IFERROR(TEXT(LOOKUP(2,1/(COUNTIF($J$1:J1063,$A$2:$A$65)=0),$A$2:$A$65), "G/표준;;"),"")</f>
        <v/>
      </c>
    </row>
    <row r="1065" spans="10:10">
      <c r="J1065" s="31" t="str">
        <f>IFERROR(TEXT(LOOKUP(2,1/(COUNTIF($J$1:J1064,$A$2:$A$65)=0),$A$2:$A$65), "G/표준;;"),"")</f>
        <v/>
      </c>
    </row>
    <row r="1066" spans="10:10">
      <c r="J1066" s="31" t="str">
        <f>IFERROR(TEXT(LOOKUP(2,1/(COUNTIF($J$1:J1065,$A$2:$A$65)=0),$A$2:$A$65), "G/표준;;"),"")</f>
        <v/>
      </c>
    </row>
    <row r="1067" spans="10:10">
      <c r="J1067" s="31" t="str">
        <f>IFERROR(TEXT(LOOKUP(2,1/(COUNTIF($J$1:J1066,$A$2:$A$65)=0),$A$2:$A$65), "G/표준;;"),"")</f>
        <v/>
      </c>
    </row>
    <row r="1068" spans="10:10">
      <c r="J1068" s="31" t="str">
        <f>IFERROR(TEXT(LOOKUP(2,1/(COUNTIF($J$1:J1067,$A$2:$A$65)=0),$A$2:$A$65), "G/표준;;"),"")</f>
        <v/>
      </c>
    </row>
    <row r="1069" spans="10:10">
      <c r="J1069" s="31" t="str">
        <f>IFERROR(TEXT(LOOKUP(2,1/(COUNTIF($J$1:J1068,$A$2:$A$65)=0),$A$2:$A$65), "G/표준;;"),"")</f>
        <v/>
      </c>
    </row>
    <row r="1070" spans="10:10">
      <c r="J1070" s="31" t="str">
        <f>IFERROR(TEXT(LOOKUP(2,1/(COUNTIF($J$1:J1069,$A$2:$A$65)=0),$A$2:$A$65), "G/표준;;"),"")</f>
        <v/>
      </c>
    </row>
    <row r="1071" spans="10:10">
      <c r="J1071" s="31" t="str">
        <f>IFERROR(TEXT(LOOKUP(2,1/(COUNTIF($J$1:J1070,$A$2:$A$65)=0),$A$2:$A$65), "G/표준;;"),"")</f>
        <v/>
      </c>
    </row>
    <row r="1072" spans="10:10">
      <c r="J1072" s="31" t="str">
        <f>IFERROR(TEXT(LOOKUP(2,1/(COUNTIF($J$1:J1071,$A$2:$A$65)=0),$A$2:$A$65), "G/표준;;"),"")</f>
        <v/>
      </c>
    </row>
    <row r="1073" spans="10:10">
      <c r="J1073" s="31" t="str">
        <f>IFERROR(TEXT(LOOKUP(2,1/(COUNTIF($J$1:J1072,$A$2:$A$65)=0),$A$2:$A$65), "G/표준;;"),"")</f>
        <v/>
      </c>
    </row>
    <row r="1074" spans="10:10">
      <c r="J1074" s="31" t="str">
        <f>IFERROR(TEXT(LOOKUP(2,1/(COUNTIF($J$1:J1073,$A$2:$A$65)=0),$A$2:$A$65), "G/표준;;"),"")</f>
        <v/>
      </c>
    </row>
    <row r="1075" spans="10:10">
      <c r="J1075" s="31" t="str">
        <f>IFERROR(TEXT(LOOKUP(2,1/(COUNTIF($J$1:J1074,$A$2:$A$65)=0),$A$2:$A$65), "G/표준;;"),"")</f>
        <v/>
      </c>
    </row>
    <row r="1076" spans="10:10">
      <c r="J1076" s="31" t="str">
        <f>IFERROR(TEXT(LOOKUP(2,1/(COUNTIF($J$1:J1075,$A$2:$A$65)=0),$A$2:$A$65), "G/표준;;"),"")</f>
        <v/>
      </c>
    </row>
    <row r="1077" spans="10:10">
      <c r="J1077" s="31" t="str">
        <f>IFERROR(TEXT(LOOKUP(2,1/(COUNTIF($J$1:J1076,$A$2:$A$65)=0),$A$2:$A$65), "G/표준;;"),"")</f>
        <v/>
      </c>
    </row>
    <row r="1078" spans="10:10">
      <c r="J1078" s="31" t="str">
        <f>IFERROR(TEXT(LOOKUP(2,1/(COUNTIF($J$1:J1077,$A$2:$A$65)=0),$A$2:$A$65), "G/표준;;"),"")</f>
        <v/>
      </c>
    </row>
    <row r="1079" spans="10:10">
      <c r="J1079" s="31" t="str">
        <f>IFERROR(TEXT(LOOKUP(2,1/(COUNTIF($J$1:J1078,$A$2:$A$65)=0),$A$2:$A$65), "G/표준;;"),"")</f>
        <v/>
      </c>
    </row>
    <row r="1080" spans="10:10">
      <c r="J1080" s="31" t="str">
        <f>IFERROR(TEXT(LOOKUP(2,1/(COUNTIF($J$1:J1079,$A$2:$A$65)=0),$A$2:$A$65), "G/표준;;"),"")</f>
        <v/>
      </c>
    </row>
    <row r="1081" spans="10:10">
      <c r="J1081" s="31" t="str">
        <f>IFERROR(TEXT(LOOKUP(2,1/(COUNTIF($J$1:J1080,$A$2:$A$65)=0),$A$2:$A$65), "G/표준;;"),"")</f>
        <v/>
      </c>
    </row>
    <row r="1082" spans="10:10">
      <c r="J1082" s="31" t="str">
        <f>IFERROR(TEXT(LOOKUP(2,1/(COUNTIF($J$1:J1081,$A$2:$A$65)=0),$A$2:$A$65), "G/표준;;"),"")</f>
        <v/>
      </c>
    </row>
    <row r="1083" spans="10:10">
      <c r="J1083" s="31" t="str">
        <f>IFERROR(TEXT(LOOKUP(2,1/(COUNTIF($J$1:J1082,$A$2:$A$65)=0),$A$2:$A$65), "G/표준;;"),"")</f>
        <v/>
      </c>
    </row>
    <row r="1084" spans="10:10">
      <c r="J1084" s="31" t="str">
        <f>IFERROR(TEXT(LOOKUP(2,1/(COUNTIF($J$1:J1083,$A$2:$A$65)=0),$A$2:$A$65), "G/표준;;"),"")</f>
        <v/>
      </c>
    </row>
    <row r="1085" spans="10:10">
      <c r="J1085" s="31" t="str">
        <f>IFERROR(TEXT(LOOKUP(2,1/(COUNTIF($J$1:J1084,$A$2:$A$65)=0),$A$2:$A$65), "G/표준;;"),"")</f>
        <v/>
      </c>
    </row>
    <row r="1086" spans="10:10">
      <c r="J1086" s="31" t="str">
        <f>IFERROR(TEXT(LOOKUP(2,1/(COUNTIF($J$1:J1085,$A$2:$A$65)=0),$A$2:$A$65), "G/표준;;"),"")</f>
        <v/>
      </c>
    </row>
    <row r="1087" spans="10:10">
      <c r="J1087" s="31" t="str">
        <f>IFERROR(TEXT(LOOKUP(2,1/(COUNTIF($J$1:J1086,$A$2:$A$65)=0),$A$2:$A$65), "G/표준;;"),"")</f>
        <v/>
      </c>
    </row>
    <row r="1088" spans="10:10">
      <c r="J1088" s="31" t="str">
        <f>IFERROR(TEXT(LOOKUP(2,1/(COUNTIF($J$1:J1087,$A$2:$A$65)=0),$A$2:$A$65), "G/표준;;"),"")</f>
        <v/>
      </c>
    </row>
    <row r="1089" spans="10:10">
      <c r="J1089" s="31" t="str">
        <f>IFERROR(TEXT(LOOKUP(2,1/(COUNTIF($J$1:J1088,$A$2:$A$65)=0),$A$2:$A$65), "G/표준;;"),"")</f>
        <v/>
      </c>
    </row>
    <row r="1090" spans="10:10">
      <c r="J1090" s="31" t="str">
        <f>IFERROR(TEXT(LOOKUP(2,1/(COUNTIF($J$1:J1089,$A$2:$A$65)=0),$A$2:$A$65), "G/표준;;"),"")</f>
        <v/>
      </c>
    </row>
    <row r="1091" spans="10:10">
      <c r="J1091" s="31" t="str">
        <f>IFERROR(TEXT(LOOKUP(2,1/(COUNTIF($J$1:J1090,$A$2:$A$65)=0),$A$2:$A$65), "G/표준;;"),"")</f>
        <v/>
      </c>
    </row>
    <row r="1092" spans="10:10">
      <c r="J1092" s="31" t="str">
        <f>IFERROR(TEXT(LOOKUP(2,1/(COUNTIF($J$1:J1091,$A$2:$A$65)=0),$A$2:$A$65), "G/표준;;"),"")</f>
        <v/>
      </c>
    </row>
    <row r="1093" spans="10:10">
      <c r="J1093" s="31" t="str">
        <f>IFERROR(TEXT(LOOKUP(2,1/(COUNTIF($J$1:J1092,$A$2:$A$65)=0),$A$2:$A$65), "G/표준;;"),"")</f>
        <v/>
      </c>
    </row>
    <row r="1094" spans="10:10">
      <c r="J1094" s="31" t="str">
        <f>IFERROR(TEXT(LOOKUP(2,1/(COUNTIF($J$1:J1093,$A$2:$A$65)=0),$A$2:$A$65), "G/표준;;"),"")</f>
        <v/>
      </c>
    </row>
    <row r="1095" spans="10:10">
      <c r="J1095" s="31" t="str">
        <f>IFERROR(TEXT(LOOKUP(2,1/(COUNTIF($J$1:J1094,$A$2:$A$65)=0),$A$2:$A$65), "G/표준;;"),"")</f>
        <v/>
      </c>
    </row>
    <row r="1096" spans="10:10">
      <c r="J1096" s="31" t="str">
        <f>IFERROR(TEXT(LOOKUP(2,1/(COUNTIF($J$1:J1095,$A$2:$A$65)=0),$A$2:$A$65), "G/표준;;"),"")</f>
        <v/>
      </c>
    </row>
    <row r="1097" spans="10:10">
      <c r="J1097" s="31" t="str">
        <f>IFERROR(TEXT(LOOKUP(2,1/(COUNTIF($J$1:J1096,$A$2:$A$65)=0),$A$2:$A$65), "G/표준;;"),"")</f>
        <v/>
      </c>
    </row>
    <row r="1098" spans="10:10">
      <c r="J1098" s="31" t="str">
        <f>IFERROR(TEXT(LOOKUP(2,1/(COUNTIF($J$1:J1097,$A$2:$A$65)=0),$A$2:$A$65), "G/표준;;"),"")</f>
        <v/>
      </c>
    </row>
    <row r="1099" spans="10:10">
      <c r="J1099" s="31" t="str">
        <f>IFERROR(TEXT(LOOKUP(2,1/(COUNTIF($J$1:J1098,$A$2:$A$65)=0),$A$2:$A$65), "G/표준;;"),"")</f>
        <v/>
      </c>
    </row>
    <row r="1100" spans="10:10">
      <c r="J1100" s="31" t="str">
        <f>IFERROR(TEXT(LOOKUP(2,1/(COUNTIF($J$1:J1099,$A$2:$A$65)=0),$A$2:$A$65), "G/표준;;"),"")</f>
        <v/>
      </c>
    </row>
    <row r="1101" spans="10:10">
      <c r="J1101" s="31" t="str">
        <f>IFERROR(TEXT(LOOKUP(2,1/(COUNTIF($J$1:J1100,$A$2:$A$65)=0),$A$2:$A$65), "G/표준;;"),"")</f>
        <v/>
      </c>
    </row>
    <row r="1102" spans="10:10">
      <c r="J1102" s="31" t="str">
        <f>IFERROR(TEXT(LOOKUP(2,1/(COUNTIF($J$1:J1101,$A$2:$A$65)=0),$A$2:$A$65), "G/표준;;"),"")</f>
        <v/>
      </c>
    </row>
    <row r="1103" spans="10:10">
      <c r="J1103" s="31" t="str">
        <f>IFERROR(TEXT(LOOKUP(2,1/(COUNTIF($J$1:J1102,$A$2:$A$65)=0),$A$2:$A$65), "G/표준;;"),"")</f>
        <v/>
      </c>
    </row>
    <row r="1104" spans="10:10">
      <c r="J1104" s="31" t="str">
        <f>IFERROR(TEXT(LOOKUP(2,1/(COUNTIF($J$1:J1103,$A$2:$A$65)=0),$A$2:$A$65), "G/표준;;"),"")</f>
        <v/>
      </c>
    </row>
    <row r="1105" spans="10:10">
      <c r="J1105" s="31" t="str">
        <f>IFERROR(TEXT(LOOKUP(2,1/(COUNTIF($J$1:J1104,$A$2:$A$65)=0),$A$2:$A$65), "G/표준;;"),"")</f>
        <v/>
      </c>
    </row>
    <row r="1106" spans="10:10">
      <c r="J1106" s="31" t="str">
        <f>IFERROR(TEXT(LOOKUP(2,1/(COUNTIF($J$1:J1105,$A$2:$A$65)=0),$A$2:$A$65), "G/표준;;"),"")</f>
        <v/>
      </c>
    </row>
    <row r="1107" spans="10:10">
      <c r="J1107" s="31" t="str">
        <f>IFERROR(TEXT(LOOKUP(2,1/(COUNTIF($J$1:J1106,$A$2:$A$65)=0),$A$2:$A$65), "G/표준;;"),"")</f>
        <v/>
      </c>
    </row>
    <row r="1108" spans="10:10">
      <c r="J1108" s="31" t="str">
        <f>IFERROR(TEXT(LOOKUP(2,1/(COUNTIF($J$1:J1107,$A$2:$A$65)=0),$A$2:$A$65), "G/표준;;"),"")</f>
        <v/>
      </c>
    </row>
    <row r="1109" spans="10:10">
      <c r="J1109" s="31" t="str">
        <f>IFERROR(TEXT(LOOKUP(2,1/(COUNTIF($J$1:J1108,$A$2:$A$65)=0),$A$2:$A$65), "G/표준;;"),"")</f>
        <v/>
      </c>
    </row>
    <row r="1110" spans="10:10">
      <c r="J1110" s="31" t="str">
        <f>IFERROR(TEXT(LOOKUP(2,1/(COUNTIF($J$1:J1109,$A$2:$A$65)=0),$A$2:$A$65), "G/표준;;"),"")</f>
        <v/>
      </c>
    </row>
    <row r="1111" spans="10:10">
      <c r="J1111" s="31" t="str">
        <f>IFERROR(TEXT(LOOKUP(2,1/(COUNTIF($J$1:J1110,$A$2:$A$65)=0),$A$2:$A$65), "G/표준;;"),"")</f>
        <v/>
      </c>
    </row>
    <row r="1112" spans="10:10">
      <c r="J1112" s="31" t="str">
        <f>IFERROR(TEXT(LOOKUP(2,1/(COUNTIF($J$1:J1111,$A$2:$A$65)=0),$A$2:$A$65), "G/표준;;"),"")</f>
        <v/>
      </c>
    </row>
    <row r="1113" spans="10:10">
      <c r="J1113" s="31" t="str">
        <f>IFERROR(TEXT(LOOKUP(2,1/(COUNTIF($J$1:J1112,$A$2:$A$65)=0),$A$2:$A$65), "G/표준;;"),"")</f>
        <v/>
      </c>
    </row>
    <row r="1114" spans="10:10">
      <c r="J1114" s="31" t="str">
        <f>IFERROR(TEXT(LOOKUP(2,1/(COUNTIF($J$1:J1113,$A$2:$A$65)=0),$A$2:$A$65), "G/표준;;"),"")</f>
        <v/>
      </c>
    </row>
    <row r="1115" spans="10:10">
      <c r="J1115" s="31" t="str">
        <f>IFERROR(TEXT(LOOKUP(2,1/(COUNTIF($J$1:J1114,$A$2:$A$65)=0),$A$2:$A$65), "G/표준;;"),"")</f>
        <v/>
      </c>
    </row>
    <row r="1116" spans="10:10">
      <c r="J1116" s="31" t="str">
        <f>IFERROR(TEXT(LOOKUP(2,1/(COUNTIF($J$1:J1115,$A$2:$A$65)=0),$A$2:$A$65), "G/표준;;"),"")</f>
        <v/>
      </c>
    </row>
    <row r="1117" spans="10:10">
      <c r="J1117" s="31" t="str">
        <f>IFERROR(TEXT(LOOKUP(2,1/(COUNTIF($J$1:J1116,$A$2:$A$65)=0),$A$2:$A$65), "G/표준;;"),"")</f>
        <v/>
      </c>
    </row>
    <row r="1118" spans="10:10">
      <c r="J1118" s="31" t="str">
        <f>IFERROR(TEXT(LOOKUP(2,1/(COUNTIF($J$1:J1117,$A$2:$A$65)=0),$A$2:$A$65), "G/표준;;"),"")</f>
        <v/>
      </c>
    </row>
    <row r="1119" spans="10:10">
      <c r="J1119" s="31" t="str">
        <f>IFERROR(TEXT(LOOKUP(2,1/(COUNTIF($J$1:J1118,$A$2:$A$65)=0),$A$2:$A$65), "G/표준;;"),"")</f>
        <v/>
      </c>
    </row>
    <row r="1120" spans="10:10">
      <c r="J1120" s="31" t="str">
        <f>IFERROR(TEXT(LOOKUP(2,1/(COUNTIF($J$1:J1119,$A$2:$A$65)=0),$A$2:$A$65), "G/표준;;"),"")</f>
        <v/>
      </c>
    </row>
    <row r="1121" spans="10:10">
      <c r="J1121" s="31" t="str">
        <f>IFERROR(TEXT(LOOKUP(2,1/(COUNTIF($J$1:J1120,$A$2:$A$65)=0),$A$2:$A$65), "G/표준;;"),"")</f>
        <v/>
      </c>
    </row>
    <row r="1122" spans="10:10">
      <c r="J1122" s="31" t="str">
        <f>IFERROR(TEXT(LOOKUP(2,1/(COUNTIF($J$1:J1121,$A$2:$A$65)=0),$A$2:$A$65), "G/표준;;"),"")</f>
        <v/>
      </c>
    </row>
    <row r="1123" spans="10:10">
      <c r="J1123" s="31" t="str">
        <f>IFERROR(TEXT(LOOKUP(2,1/(COUNTIF($J$1:J1122,$A$2:$A$65)=0),$A$2:$A$65), "G/표준;;"),"")</f>
        <v/>
      </c>
    </row>
    <row r="1124" spans="10:10">
      <c r="J1124" s="31" t="str">
        <f>IFERROR(TEXT(LOOKUP(2,1/(COUNTIF($J$1:J1123,$A$2:$A$65)=0),$A$2:$A$65), "G/표준;;"),"")</f>
        <v/>
      </c>
    </row>
    <row r="1125" spans="10:10">
      <c r="J1125" s="31" t="str">
        <f>IFERROR(TEXT(LOOKUP(2,1/(COUNTIF($J$1:J1124,$A$2:$A$65)=0),$A$2:$A$65), "G/표준;;"),"")</f>
        <v/>
      </c>
    </row>
    <row r="1126" spans="10:10">
      <c r="J1126" s="31" t="str">
        <f>IFERROR(TEXT(LOOKUP(2,1/(COUNTIF($J$1:J1125,$A$2:$A$65)=0),$A$2:$A$65), "G/표준;;"),"")</f>
        <v/>
      </c>
    </row>
    <row r="1127" spans="10:10">
      <c r="J1127" s="31" t="str">
        <f>IFERROR(TEXT(LOOKUP(2,1/(COUNTIF($J$1:J1126,$A$2:$A$65)=0),$A$2:$A$65), "G/표준;;"),"")</f>
        <v/>
      </c>
    </row>
    <row r="1128" spans="10:10">
      <c r="J1128" s="31" t="str">
        <f>IFERROR(TEXT(LOOKUP(2,1/(COUNTIF($J$1:J1127,$A$2:$A$65)=0),$A$2:$A$65), "G/표준;;"),"")</f>
        <v/>
      </c>
    </row>
    <row r="1129" spans="10:10">
      <c r="J1129" s="31" t="str">
        <f>IFERROR(TEXT(LOOKUP(2,1/(COUNTIF($J$1:J1128,$A$2:$A$65)=0),$A$2:$A$65), "G/표준;;"),"")</f>
        <v/>
      </c>
    </row>
    <row r="1130" spans="10:10">
      <c r="J1130" s="31" t="str">
        <f>IFERROR(TEXT(LOOKUP(2,1/(COUNTIF($J$1:J1129,$A$2:$A$65)=0),$A$2:$A$65), "G/표준;;"),"")</f>
        <v/>
      </c>
    </row>
  </sheetData>
  <protectedRanges>
    <protectedRange sqref="F24:G24 E25:G1048576 H21:H1048576 E21:G23 B21:D28 C20:G20 B30:D1048576 A101:A1048576 C29:D29 C1:H19 B1:B20 A1:A65" name="Plan"/>
  </protectedRanges>
  <phoneticPr fontId="1" type="noConversion"/>
  <dataValidations disablePrompts="1" count="1">
    <dataValidation type="list" allowBlank="1" showInputMessage="1" showErrorMessage="1" sqref="L120:L223 Q57:Q59" xr:uid="{526D294B-3DA9-4DD3-B13A-260960D7418D}">
      <formula1>"단기, 중기, 장기"</formula1>
    </dataValidation>
  </dataValidations>
  <pageMargins left="0.7" right="0.7" top="0.75" bottom="0.75" header="0.3" footer="0.3"/>
  <pageSetup paperSize="9" orientation="portrait" horizontalDpi="4294967292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autoFill="0" autoPict="0" macro="[0]!버튼all카테고리">
                <anchor moveWithCells="1" sizeWithCells="1">
                  <from>
                    <xdr:col>9</xdr:col>
                    <xdr:colOff>6350</xdr:colOff>
                    <xdr:row>0</xdr:row>
                    <xdr:rowOff>6350</xdr:rowOff>
                  </from>
                  <to>
                    <xdr:col>9</xdr:col>
                    <xdr:colOff>1289050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5" name="Button 27">
              <controlPr defaultSize="0" autoFill="0" autoPict="0" macro="[0]!버튼todaysheet">
                <anchor moveWithCells="1" sizeWithCells="1">
                  <from>
                    <xdr:col>10</xdr:col>
                    <xdr:colOff>44450</xdr:colOff>
                    <xdr:row>0</xdr:row>
                    <xdr:rowOff>0</xdr:rowOff>
                  </from>
                  <to>
                    <xdr:col>11</xdr:col>
                    <xdr:colOff>603250</xdr:colOff>
                    <xdr:row>19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E61F-3B9A-4D10-B071-CBBD1512A584}">
  <sheetPr codeName="Sheet9"/>
  <dimension ref="A1:F19"/>
  <sheetViews>
    <sheetView workbookViewId="0">
      <selection activeCell="A12" sqref="A12"/>
    </sheetView>
  </sheetViews>
  <sheetFormatPr defaultRowHeight="13"/>
  <cols>
    <col min="1" max="1" width="15.54296875" style="2" customWidth="1"/>
    <col min="2" max="2" width="15.54296875" style="3" customWidth="1"/>
    <col min="3" max="3" width="15.54296875" customWidth="1"/>
    <col min="4" max="4" width="15.54296875" style="8" customWidth="1"/>
    <col min="5" max="5" width="15.54296875" style="39" customWidth="1"/>
  </cols>
  <sheetData>
    <row r="1" spans="1:6" ht="19.5" thickBot="1">
      <c r="A1" s="173" t="s">
        <v>1</v>
      </c>
      <c r="B1" s="173"/>
      <c r="C1" s="173"/>
      <c r="D1" s="173"/>
      <c r="E1" s="173"/>
    </row>
    <row r="2" spans="1:6" ht="18" customHeight="1" thickBot="1">
      <c r="A2" s="44" t="str">
        <f>Yearly!B2</f>
        <v>曜日別</v>
      </c>
      <c r="B2" s="15" t="str">
        <f>Yearly!M2</f>
        <v>学習</v>
      </c>
      <c r="C2" s="16" t="str">
        <f>Yearly!N2</f>
        <v>R1</v>
      </c>
      <c r="D2" s="17" t="str">
        <f>Yearly!O2</f>
        <v>R2</v>
      </c>
      <c r="E2" s="18" t="str">
        <f>Yearly!P2</f>
        <v>境界線</v>
      </c>
    </row>
    <row r="3" spans="1:6" ht="1" hidden="1" customHeight="1">
      <c r="A3" s="45"/>
      <c r="E3" s="20"/>
    </row>
    <row r="4" spans="1:6">
      <c r="A4" s="46" t="s">
        <v>11</v>
      </c>
      <c r="B4" s="9"/>
      <c r="C4" s="4"/>
      <c r="D4" s="4"/>
      <c r="E4" s="19" t="s">
        <v>0</v>
      </c>
    </row>
    <row r="5" spans="1:6">
      <c r="A5" s="46" t="s">
        <v>13</v>
      </c>
      <c r="B5" s="9"/>
      <c r="C5" s="4"/>
      <c r="D5" s="4"/>
      <c r="E5" s="19" t="s">
        <v>0</v>
      </c>
    </row>
    <row r="6" spans="1:6">
      <c r="A6" s="46" t="s">
        <v>15</v>
      </c>
      <c r="B6" s="10"/>
      <c r="C6" s="4"/>
      <c r="D6" s="4"/>
      <c r="E6" s="19" t="s">
        <v>0</v>
      </c>
    </row>
    <row r="7" spans="1:6">
      <c r="A7" s="46" t="s">
        <v>17</v>
      </c>
      <c r="B7" s="9"/>
      <c r="C7" s="4"/>
      <c r="D7" s="4"/>
      <c r="E7" s="19" t="s">
        <v>0</v>
      </c>
    </row>
    <row r="8" spans="1:6">
      <c r="A8" s="46" t="s">
        <v>19</v>
      </c>
      <c r="C8" s="75"/>
      <c r="D8" s="4"/>
      <c r="E8" s="19" t="s">
        <v>0</v>
      </c>
    </row>
    <row r="9" spans="1:6">
      <c r="A9" s="46" t="s">
        <v>21</v>
      </c>
      <c r="B9" s="10"/>
      <c r="C9" s="4"/>
      <c r="D9" s="4"/>
      <c r="E9" s="19" t="s">
        <v>0</v>
      </c>
    </row>
    <row r="10" spans="1:6" ht="13.5" thickBot="1">
      <c r="A10" s="47" t="s">
        <v>23</v>
      </c>
      <c r="B10" s="9"/>
      <c r="C10" s="4"/>
      <c r="D10" s="4"/>
      <c r="E10" s="40" t="s">
        <v>0</v>
      </c>
    </row>
    <row r="11" spans="1:6">
      <c r="A11" s="35"/>
      <c r="B11" s="36"/>
      <c r="C11" s="37"/>
      <c r="D11" s="38"/>
      <c r="E11" s="37"/>
      <c r="F11" s="4"/>
    </row>
    <row r="12" spans="1:6">
      <c r="A12" s="76"/>
      <c r="B12" s="79"/>
      <c r="C12" s="75"/>
      <c r="D12" s="77"/>
      <c r="F12" s="4"/>
    </row>
    <row r="13" spans="1:6">
      <c r="A13" s="6"/>
      <c r="B13" s="10"/>
      <c r="C13" s="75"/>
      <c r="D13" s="3"/>
      <c r="E13" s="75"/>
      <c r="F13" s="4"/>
    </row>
    <row r="14" spans="1:6">
      <c r="A14" s="5"/>
      <c r="B14" s="77"/>
      <c r="C14" s="75"/>
      <c r="D14" s="9"/>
      <c r="E14" s="75"/>
      <c r="F14" s="4"/>
    </row>
    <row r="15" spans="1:6">
      <c r="A15" s="6"/>
      <c r="B15" s="77"/>
      <c r="C15" s="75"/>
      <c r="F15" s="4"/>
    </row>
    <row r="18" spans="1:3">
      <c r="A18" s="76"/>
    </row>
    <row r="19" spans="1:3">
      <c r="C19" s="75"/>
    </row>
  </sheetData>
  <protectedRanges>
    <protectedRange sqref="B13 C4:E10 B4:B7 B9:B10" name="Routine"/>
  </protectedRanges>
  <mergeCells count="1">
    <mergeCell ref="A1:E1"/>
  </mergeCells>
  <phoneticPr fontId="1" type="noConversion"/>
  <pageMargins left="0.7" right="0.7" top="0.75" bottom="0.75" header="0.3" footer="0.3"/>
  <pageSetup paperSize="9" orientation="portrait" horizontalDpi="4294967292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autoFill="0" autoPict="0" macro="[0]!버튼todaysheet">
                <anchor moveWithCells="1" sizeWithCells="1">
                  <from>
                    <xdr:col>5</xdr:col>
                    <xdr:colOff>152400</xdr:colOff>
                    <xdr:row>1</xdr:row>
                    <xdr:rowOff>19050</xdr:rowOff>
                  </from>
                  <to>
                    <xdr:col>6</xdr:col>
                    <xdr:colOff>514350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1CB5E1-FCC9-4622-8D8A-208B0E4822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★Today</vt:lpstr>
      <vt:lpstr>Yearly</vt:lpstr>
      <vt:lpstr>Daily</vt:lpstr>
      <vt:lpstr>Plan</vt:lpstr>
      <vt:lpstr>Routine</vt:lpstr>
      <vt:lpstr>★Today!루틴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양동화</cp:lastModifiedBy>
  <cp:lastPrinted>2019-09-10T00:28:36Z</cp:lastPrinted>
  <dcterms:created xsi:type="dcterms:W3CDTF">2006-09-13T11:19:49Z</dcterms:created>
  <dcterms:modified xsi:type="dcterms:W3CDTF">2020-09-30T14:15:32Z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e76363ab-202d-4970-b424-a942f9f06b05</vt:lpwstr>
  </property>
</Properties>
</file>